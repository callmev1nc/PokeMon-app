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ồn Kho t3" sheetId="1" r:id="rId1"/>
  </sheets>
  <definedNames>
    <definedName name="F145k">'Tồn Kho t3'!$G$23</definedName>
    <definedName name="_xlnm._FilterDatabase" localSheetId="0" hidden="1">'Tồn Kho t3'!$A$3:$K$81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4" formatCode="d/m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1020"/>
  <sheetViews>
    <sheetView workbookViewId="0" rightToLeft="0"/>
  </sheetViews>
  <sheetData>
    <row r="1">
      <c r="C1" t="str">
        <v>March 2026 - Update date: 27/03/2026</v>
      </c>
      <c r="G1" t="str">
        <v>NGHÌN VND</v>
      </c>
      <c r="K1">
        <f>SUM(K4:K1196)</f>
        <v>5650</v>
      </c>
      <c r="L1">
        <f>SUM(L4:L1167)</f>
        <v>28993</v>
      </c>
    </row>
    <row r="2">
      <c r="H2">
        <v>46115</v>
      </c>
    </row>
    <row r="3">
      <c r="A3" t="str">
        <v>No</v>
      </c>
      <c r="B3" t="str">
        <v>Stype</v>
      </c>
      <c r="C3" t="str">
        <v>Good description</v>
      </c>
      <c r="D3" t="str">
        <v>Series</v>
      </c>
      <c r="E3" t="str">
        <v>Type</v>
      </c>
      <c r="F3" t="str">
        <v>KHO</v>
      </c>
      <c r="G3" t="str">
        <v>Unit Price</v>
      </c>
      <c r="H3" t="str">
        <v>ĐẦU KỲ</v>
      </c>
      <c r="I3" t="str">
        <v>XUẤT</v>
      </c>
      <c r="J3" t="str">
        <v>NHẬP</v>
      </c>
      <c r="K3" t="str">
        <v>TỒN</v>
      </c>
      <c r="L3" t="str">
        <v>SUM</v>
      </c>
    </row>
    <row r="4">
      <c r="A4" t="str">
        <v>PC-PO-023</v>
      </c>
      <c r="B4" t="str">
        <v>pokemon</v>
      </c>
      <c r="C4" t="str">
        <v>INFERNAPE</v>
      </c>
      <c r="D4" t="str">
        <v>TWM EN 033/167</v>
      </c>
      <c r="E4" t="str">
        <v>prize card</v>
      </c>
      <c r="F4" t="str">
        <v>HCM</v>
      </c>
      <c r="G4">
        <v>6</v>
      </c>
      <c r="H4">
        <v>3</v>
      </c>
      <c r="K4">
        <f>J4+H4-I4</f>
        <v>3</v>
      </c>
      <c r="L4">
        <f>G4*K4</f>
        <v>18</v>
      </c>
    </row>
    <row r="5">
      <c r="A5" t="str">
        <v>PC-SUP-013</v>
      </c>
      <c r="B5" t="str">
        <v>suppoter</v>
      </c>
      <c r="C5" t="str">
        <v>IONO</v>
      </c>
      <c r="D5" t="str">
        <v>PAL EN 185/193</v>
      </c>
      <c r="E5" t="str">
        <v>prize card</v>
      </c>
      <c r="F5" t="str">
        <v>HCM</v>
      </c>
      <c r="G5">
        <v>6</v>
      </c>
      <c r="H5">
        <v>1</v>
      </c>
      <c r="K5">
        <f>J5+H5-I5</f>
        <v>1</v>
      </c>
      <c r="L5">
        <f>G5*K5</f>
        <v>6</v>
      </c>
    </row>
    <row r="6">
      <c r="A6" t="str">
        <v>PC-PO-034</v>
      </c>
      <c r="B6" t="str">
        <v>pokemon</v>
      </c>
      <c r="C6" t="str">
        <v>IRON BOULDER</v>
      </c>
      <c r="D6" t="str">
        <v>SCR 071/142</v>
      </c>
      <c r="E6" t="str">
        <v>prize card</v>
      </c>
      <c r="F6" t="str">
        <v>HCM</v>
      </c>
      <c r="G6">
        <v>6</v>
      </c>
      <c r="H6">
        <v>7</v>
      </c>
      <c r="K6">
        <f>J6+H6-I6</f>
        <v>7</v>
      </c>
      <c r="L6">
        <f>G6*K6</f>
        <v>42</v>
      </c>
    </row>
    <row r="7">
      <c r="A7" t="str">
        <v>PC-PO-034</v>
      </c>
      <c r="B7" t="str">
        <v>pokemon</v>
      </c>
      <c r="C7" t="str">
        <v>IRON BOULDER</v>
      </c>
      <c r="D7" t="str">
        <v>SCR 071/142</v>
      </c>
      <c r="E7" t="str">
        <v>holo prize card</v>
      </c>
      <c r="F7" t="str">
        <v>HCM</v>
      </c>
      <c r="G7">
        <v>8</v>
      </c>
      <c r="H7">
        <v>3</v>
      </c>
      <c r="K7">
        <f>J7+H7-I7</f>
        <v>3</v>
      </c>
      <c r="L7">
        <f>G7*K7</f>
        <v>24</v>
      </c>
    </row>
    <row r="8">
      <c r="A8" t="str">
        <v>PO-LB-07</v>
      </c>
      <c r="B8" t="str">
        <v>pokemon</v>
      </c>
      <c r="C8" t="str">
        <v>IRON BUNDLE</v>
      </c>
      <c r="D8" t="str">
        <v>SSP EN 055/191</v>
      </c>
      <c r="E8" t="str">
        <v>normal</v>
      </c>
      <c r="F8" t="str">
        <v>HCM</v>
      </c>
      <c r="G8">
        <v>4</v>
      </c>
      <c r="H8">
        <v>1</v>
      </c>
      <c r="K8">
        <f>J8+H8-I8</f>
        <v>1</v>
      </c>
      <c r="L8">
        <f>G8*K8</f>
        <v>4</v>
      </c>
    </row>
    <row r="9">
      <c r="A9" t="str">
        <v>PO-LB-07</v>
      </c>
      <c r="B9" t="str">
        <v>pokemon</v>
      </c>
      <c r="C9" t="str">
        <v>IRON BUNDLE</v>
      </c>
      <c r="D9" t="str">
        <v>PAR EN 056/182</v>
      </c>
      <c r="E9" t="str">
        <v>normal</v>
      </c>
      <c r="F9" t="str">
        <v>HCM</v>
      </c>
      <c r="G9">
        <v>4</v>
      </c>
      <c r="H9">
        <v>6</v>
      </c>
      <c r="K9">
        <f>J9+H9-I9</f>
        <v>6</v>
      </c>
      <c r="L9">
        <f>G9*K9</f>
        <v>24</v>
      </c>
    </row>
    <row r="10">
      <c r="A10" t="str">
        <v>PC-PO-027</v>
      </c>
      <c r="B10" t="str">
        <v>stadium</v>
      </c>
      <c r="C10" t="str">
        <v>LEDIAN</v>
      </c>
      <c r="D10" t="str">
        <v>SCR EN 003/142</v>
      </c>
      <c r="E10" t="str">
        <v>prize card</v>
      </c>
      <c r="F10" t="str">
        <v>HCM</v>
      </c>
      <c r="G10">
        <v>6</v>
      </c>
      <c r="H10">
        <v>6</v>
      </c>
      <c r="K10">
        <f>J10+H10-I10</f>
        <v>6</v>
      </c>
      <c r="L10">
        <f>G10*K10</f>
        <v>36</v>
      </c>
    </row>
    <row r="11">
      <c r="A11" t="str">
        <v>PC-PO-015A</v>
      </c>
      <c r="B11" t="str">
        <v>pokemon</v>
      </c>
      <c r="C11" t="str">
        <v>JOLTIK</v>
      </c>
      <c r="D11" t="str">
        <v>SCR 050/142</v>
      </c>
      <c r="E11" t="str">
        <v>holo prize card</v>
      </c>
      <c r="F11" t="str">
        <v>HCM</v>
      </c>
      <c r="H11">
        <v>2</v>
      </c>
      <c r="K11">
        <f>J11+H11-I11</f>
        <v>2</v>
      </c>
    </row>
    <row r="12">
      <c r="A12" t="str">
        <v>PC-PO-015</v>
      </c>
      <c r="B12" t="str">
        <v>pokemon</v>
      </c>
      <c r="C12" t="str">
        <v>MORPEKO</v>
      </c>
      <c r="D12" t="str">
        <v>PAR EN 072/167</v>
      </c>
      <c r="E12" t="str">
        <v>prize card</v>
      </c>
      <c r="F12" t="str">
        <v>HCM</v>
      </c>
      <c r="G12">
        <v>6</v>
      </c>
      <c r="H12">
        <v>2</v>
      </c>
      <c r="K12">
        <f>J12+H12-I12</f>
        <v>2</v>
      </c>
      <c r="L12">
        <f>G12*K12</f>
        <v>12</v>
      </c>
    </row>
    <row r="13">
      <c r="A13" t="str">
        <v>PC-PO-031</v>
      </c>
      <c r="B13" t="str">
        <v>pokemon</v>
      </c>
      <c r="C13" t="str">
        <v>MORPEKO</v>
      </c>
      <c r="D13" t="str">
        <v>PAR 121/182</v>
      </c>
      <c r="E13" t="str">
        <v>prize card</v>
      </c>
      <c r="F13" t="str">
        <v>HCM</v>
      </c>
      <c r="G13">
        <v>6</v>
      </c>
      <c r="H13">
        <v>3</v>
      </c>
      <c r="K13">
        <f>J13+H13-I13</f>
        <v>3</v>
      </c>
      <c r="L13">
        <f>G13*K13</f>
        <v>18</v>
      </c>
    </row>
    <row r="14">
      <c r="A14" t="str">
        <v>PO-DB-08</v>
      </c>
      <c r="B14" t="str">
        <v>pokemon</v>
      </c>
      <c r="C14" t="str">
        <v>MORPEKO</v>
      </c>
      <c r="D14" t="str">
        <v>DRI 137/182</v>
      </c>
      <c r="E14" t="str">
        <v>normal</v>
      </c>
      <c r="F14" t="str">
        <v>HCM</v>
      </c>
      <c r="G14">
        <v>3</v>
      </c>
      <c r="H14">
        <v>2</v>
      </c>
      <c r="K14">
        <f>J14+H14-I14</f>
        <v>2</v>
      </c>
      <c r="L14">
        <f>G14*K14</f>
        <v>6</v>
      </c>
    </row>
    <row r="15">
      <c r="A15" t="str">
        <v>PC-TO-09</v>
      </c>
      <c r="B15" t="str">
        <v>tool</v>
      </c>
      <c r="C15" t="str">
        <v>RESCUE BOARD</v>
      </c>
      <c r="D15" t="str">
        <v>TEF EN 159/162</v>
      </c>
      <c r="E15" t="str">
        <v>prize card</v>
      </c>
      <c r="F15" t="str">
        <v>HCM</v>
      </c>
      <c r="G15">
        <v>5</v>
      </c>
      <c r="H15">
        <v>10</v>
      </c>
      <c r="K15">
        <f>J15+H15-I15</f>
        <v>10</v>
      </c>
      <c r="L15">
        <f>G15*K15</f>
        <v>50</v>
      </c>
    </row>
    <row r="16">
      <c r="A16" t="str">
        <v>PC-PO-037</v>
      </c>
      <c r="B16" t="str">
        <v>pokemon</v>
      </c>
      <c r="C16" t="str">
        <v>RIBOMBEE</v>
      </c>
      <c r="D16" t="str">
        <v>JTG EN 067/159</v>
      </c>
      <c r="E16" t="str">
        <v>prize card</v>
      </c>
      <c r="F16" t="str">
        <v>HCM</v>
      </c>
      <c r="G16">
        <v>5</v>
      </c>
      <c r="H16">
        <v>1</v>
      </c>
      <c r="K16">
        <f>J16+H16-I16</f>
        <v>1</v>
      </c>
      <c r="L16">
        <f>G16*K16</f>
        <v>5</v>
      </c>
    </row>
    <row r="17">
      <c r="A17" t="str">
        <v>IT-44</v>
      </c>
      <c r="B17" t="str">
        <v>item</v>
      </c>
      <c r="C17" t="str">
        <v>TECHNO RADAR</v>
      </c>
      <c r="D17" t="str">
        <v>PAR EN 180/182</v>
      </c>
      <c r="E17" t="str">
        <v>normal</v>
      </c>
      <c r="F17" t="str">
        <v>HCM</v>
      </c>
      <c r="G17">
        <v>5</v>
      </c>
      <c r="H17">
        <v>3</v>
      </c>
      <c r="K17">
        <f>J17+H17-I17</f>
        <v>3</v>
      </c>
      <c r="L17">
        <f>G17*K17</f>
        <v>15</v>
      </c>
    </row>
    <row r="18">
      <c r="A18" t="str">
        <v>SUP-27</v>
      </c>
      <c r="B18" t="str">
        <v>suppoter</v>
      </c>
      <c r="C18" t="str">
        <v xml:space="preserve">Iris's Fightinh Spirit </v>
      </c>
      <c r="D18" t="str">
        <v>ASC 190/217</v>
      </c>
      <c r="E18" t="str">
        <v>normal</v>
      </c>
      <c r="F18" t="str">
        <v>HCM</v>
      </c>
      <c r="H18">
        <v>13</v>
      </c>
      <c r="K18">
        <f>J18+H18-I18</f>
        <v>13</v>
      </c>
      <c r="L18">
        <f>G18*K18</f>
        <v>0</v>
      </c>
    </row>
    <row r="19">
      <c r="A19" t="str">
        <v>SUP-27</v>
      </c>
      <c r="B19" t="str">
        <v>suppoter</v>
      </c>
      <c r="C19" t="str">
        <v xml:space="preserve">Iris's Fightinh Spirit </v>
      </c>
      <c r="D19" t="str">
        <v>JTG 149/159</v>
      </c>
      <c r="E19" t="str">
        <v>normal</v>
      </c>
      <c r="F19" t="str">
        <v>HCM</v>
      </c>
      <c r="G19">
        <v>5</v>
      </c>
      <c r="H19">
        <v>24</v>
      </c>
      <c r="K19">
        <f>J19+H19-I19</f>
        <v>24</v>
      </c>
      <c r="L19">
        <f>G19*K19</f>
        <v>120</v>
      </c>
    </row>
    <row r="20">
      <c r="A20" t="str">
        <v>SUP-41</v>
      </c>
      <c r="B20" t="str">
        <v>suppoter</v>
      </c>
      <c r="C20" t="str">
        <v>Team Rocket's Archer</v>
      </c>
      <c r="D20" t="str">
        <v>DRI 170/182</v>
      </c>
      <c r="E20" t="str">
        <v>normal</v>
      </c>
      <c r="F20" t="str">
        <v>HCM</v>
      </c>
      <c r="G20">
        <v>5</v>
      </c>
      <c r="H20">
        <v>18</v>
      </c>
      <c r="K20">
        <f>J20+H20-I20</f>
        <v>18</v>
      </c>
      <c r="L20">
        <f>G20*K20</f>
        <v>90</v>
      </c>
    </row>
    <row r="21">
      <c r="A21" t="str">
        <v>SUP-41</v>
      </c>
      <c r="B21" t="str">
        <v>suppoter</v>
      </c>
      <c r="C21" t="str">
        <v>Team Rocket's Archer</v>
      </c>
      <c r="D21" t="str">
        <v>ASC 201/217</v>
      </c>
      <c r="E21" t="str">
        <v>normal</v>
      </c>
      <c r="F21" t="str">
        <v>HCM</v>
      </c>
      <c r="G21">
        <v>5</v>
      </c>
      <c r="H21">
        <v>7</v>
      </c>
      <c r="K21">
        <f>J21+H21-I21</f>
        <v>7</v>
      </c>
      <c r="L21">
        <f>G21*K21</f>
        <v>35</v>
      </c>
    </row>
    <row r="22">
      <c r="A22" t="str">
        <v>SUP-42</v>
      </c>
      <c r="B22" t="str">
        <v>suppoter</v>
      </c>
      <c r="C22" t="str">
        <v>Team Rocket's Ariana</v>
      </c>
      <c r="D22" t="str">
        <v>ASC 202/217</v>
      </c>
      <c r="E22" t="str">
        <v>normal</v>
      </c>
      <c r="F22" t="str">
        <v>HCM</v>
      </c>
      <c r="G22">
        <v>5</v>
      </c>
      <c r="H22">
        <v>3</v>
      </c>
      <c r="K22">
        <f>J22+H22-I22</f>
        <v>3</v>
      </c>
      <c r="L22">
        <f>G22*K22</f>
        <v>15</v>
      </c>
    </row>
    <row r="23">
      <c r="A23" t="str">
        <v>SUP-42</v>
      </c>
      <c r="B23" t="str">
        <v>suppoter</v>
      </c>
      <c r="C23" t="str">
        <v>Team Rocket's Ariana</v>
      </c>
      <c r="D23" t="str">
        <v>DRI 171/182</v>
      </c>
      <c r="E23" t="str">
        <v>normal</v>
      </c>
      <c r="F23" t="str">
        <v>HCM</v>
      </c>
      <c r="G23">
        <v>5</v>
      </c>
      <c r="H23">
        <v>28</v>
      </c>
      <c r="K23">
        <f>J23+H23-I23</f>
        <v>28</v>
      </c>
      <c r="L23">
        <f>G23*K23</f>
        <v>140</v>
      </c>
    </row>
    <row r="24">
      <c r="A24" t="str">
        <v>SUP-44</v>
      </c>
      <c r="B24" t="str">
        <v>suppoter</v>
      </c>
      <c r="C24" t="str">
        <v>Team Rocket's Proton</v>
      </c>
      <c r="D24" t="str">
        <v>ASC 208/217</v>
      </c>
      <c r="E24" t="str">
        <v>normal</v>
      </c>
      <c r="F24" t="str">
        <v>HCM</v>
      </c>
      <c r="G24">
        <v>5</v>
      </c>
      <c r="H24">
        <v>4</v>
      </c>
      <c r="K24">
        <f>J24+H24-I24</f>
        <v>4</v>
      </c>
      <c r="L24">
        <f>G24*K24</f>
        <v>20</v>
      </c>
    </row>
    <row r="25">
      <c r="A25" t="str">
        <v>SUP-44</v>
      </c>
      <c r="B25" t="str">
        <v>suppoter</v>
      </c>
      <c r="C25" t="str">
        <v>Team Rocket's Proton</v>
      </c>
      <c r="D25" t="str">
        <v>DRI 177/182</v>
      </c>
      <c r="E25" t="str">
        <v>normal</v>
      </c>
      <c r="F25" t="str">
        <v>HCM</v>
      </c>
      <c r="G25">
        <v>5</v>
      </c>
      <c r="H25">
        <v>24</v>
      </c>
      <c r="K25">
        <f>J25+H25-I25</f>
        <v>24</v>
      </c>
      <c r="L25">
        <f>G25*K25</f>
        <v>120</v>
      </c>
    </row>
    <row r="26">
      <c r="A26" t="str">
        <v>PC-PO-003</v>
      </c>
      <c r="B26" t="str">
        <v>pokemon</v>
      </c>
      <c r="C26" t="str">
        <v>NOCTOWL</v>
      </c>
      <c r="D26" t="str">
        <v>SFA EN 042/064</v>
      </c>
      <c r="E26" t="str">
        <v>prize card</v>
      </c>
      <c r="F26" t="str">
        <v>HCM</v>
      </c>
      <c r="G26">
        <v>10</v>
      </c>
      <c r="H26">
        <v>3</v>
      </c>
      <c r="K26">
        <f>J26+H26-I26</f>
        <v>3</v>
      </c>
      <c r="L26">
        <f>G26*K26</f>
        <v>30</v>
      </c>
    </row>
    <row r="27">
      <c r="A27" t="str">
        <v>PC-PO-004</v>
      </c>
      <c r="B27" t="str">
        <v>pokemon</v>
      </c>
      <c r="C27" t="str">
        <v>DUBWOOL</v>
      </c>
      <c r="D27" t="str">
        <v>JTG EN 136/159</v>
      </c>
      <c r="E27" t="str">
        <v>prize card</v>
      </c>
      <c r="F27" t="str">
        <v>HCM</v>
      </c>
      <c r="G27">
        <v>6</v>
      </c>
      <c r="H27">
        <v>3</v>
      </c>
      <c r="K27">
        <f>J27+H27-I27</f>
        <v>3</v>
      </c>
      <c r="L27">
        <f>G27*K27</f>
        <v>18</v>
      </c>
    </row>
    <row r="28">
      <c r="A28" t="str">
        <v>SUP-06</v>
      </c>
      <c r="B28" t="str">
        <v>suppoter</v>
      </c>
      <c r="C28" t="str">
        <v>Carmine</v>
      </c>
      <c r="D28" t="str">
        <v>PRE 103/131</v>
      </c>
      <c r="E28" t="str">
        <v>normal</v>
      </c>
      <c r="F28" t="str">
        <v>HCM</v>
      </c>
      <c r="G28">
        <v>6</v>
      </c>
      <c r="H28">
        <v>7</v>
      </c>
      <c r="K28">
        <f>J28+H28-I28</f>
        <v>7</v>
      </c>
      <c r="L28">
        <f>G28*K28</f>
        <v>42</v>
      </c>
    </row>
    <row r="29">
      <c r="A29" t="str">
        <v>SUP-06</v>
      </c>
      <c r="B29" t="str">
        <v>suppoter</v>
      </c>
      <c r="C29" t="str">
        <v>Carmine</v>
      </c>
      <c r="D29" t="str">
        <v>PRE 103/131</v>
      </c>
      <c r="E29" t="str">
        <v>holo</v>
      </c>
      <c r="F29" t="str">
        <v>HCM</v>
      </c>
      <c r="G29">
        <v>6</v>
      </c>
      <c r="H29">
        <v>1</v>
      </c>
      <c r="K29">
        <f>J29+H29-I29</f>
        <v>1</v>
      </c>
      <c r="L29">
        <f>G29*K29</f>
        <v>6</v>
      </c>
    </row>
    <row r="30">
      <c r="A30" t="str">
        <v>SUP-06</v>
      </c>
      <c r="B30" t="str">
        <v>suppoter</v>
      </c>
      <c r="C30" t="str">
        <v xml:space="preserve">Carmine </v>
      </c>
      <c r="D30" t="str">
        <v>TWM 145/167</v>
      </c>
      <c r="E30" t="str">
        <v>normal</v>
      </c>
      <c r="F30" t="str">
        <v>HCM</v>
      </c>
      <c r="G30">
        <v>6</v>
      </c>
      <c r="H30">
        <v>5</v>
      </c>
      <c r="K30">
        <f>J30+H30-I30</f>
        <v>5</v>
      </c>
      <c r="L30">
        <f>G30*K30</f>
        <v>30</v>
      </c>
    </row>
    <row r="31">
      <c r="A31" t="str">
        <v>SUP-43</v>
      </c>
      <c r="B31" t="str">
        <v>suppoter</v>
      </c>
      <c r="C31" t="str">
        <v>Team Rocket's Giovanni</v>
      </c>
      <c r="D31" t="str">
        <v>DRI 174/182</v>
      </c>
      <c r="E31" t="str">
        <v>holo</v>
      </c>
      <c r="F31" t="str">
        <v>HCM</v>
      </c>
      <c r="H31">
        <v>1</v>
      </c>
      <c r="K31">
        <f>J31+H31-I31</f>
        <v>1</v>
      </c>
      <c r="L31">
        <f>G31*K31</f>
        <v>0</v>
      </c>
    </row>
    <row r="32">
      <c r="A32" t="str">
        <v>SUP-43</v>
      </c>
      <c r="B32" t="str">
        <v>suppoter</v>
      </c>
      <c r="C32" t="str">
        <v>Team Rocket's Giovanni</v>
      </c>
      <c r="D32" t="str">
        <v>DRI 174/182</v>
      </c>
      <c r="E32" t="str">
        <v>normal</v>
      </c>
      <c r="F32" t="str">
        <v>HCM</v>
      </c>
      <c r="G32">
        <v>6</v>
      </c>
      <c r="H32">
        <v>22</v>
      </c>
      <c r="K32">
        <f>J32+H32-I32</f>
        <v>22</v>
      </c>
      <c r="L32">
        <f>G32*K32</f>
        <v>132</v>
      </c>
    </row>
    <row r="33">
      <c r="A33" t="str">
        <v>PC-PO-001</v>
      </c>
      <c r="B33" t="str">
        <v>pokemon</v>
      </c>
      <c r="C33" t="str">
        <v>ARCHALUDON</v>
      </c>
      <c r="D33" t="str">
        <v>SCR 107/142</v>
      </c>
      <c r="E33" t="str">
        <v>prize card</v>
      </c>
      <c r="F33" t="str">
        <v>HCM</v>
      </c>
      <c r="G33">
        <v>7</v>
      </c>
      <c r="H33">
        <v>11</v>
      </c>
      <c r="K33">
        <f>J33+H33-I33</f>
        <v>11</v>
      </c>
      <c r="L33">
        <f>G33*K33</f>
        <v>77</v>
      </c>
    </row>
    <row r="34">
      <c r="A34" t="str">
        <v>PC-PO-001</v>
      </c>
      <c r="B34" t="str">
        <v>pokemon</v>
      </c>
      <c r="C34" t="str">
        <v>ARCHALUDON</v>
      </c>
      <c r="D34" t="str">
        <v>SCR 107/142</v>
      </c>
      <c r="E34" t="str">
        <v>holo prize card</v>
      </c>
      <c r="F34" t="str">
        <v>HCM</v>
      </c>
      <c r="G34">
        <v>9</v>
      </c>
      <c r="H34">
        <v>3</v>
      </c>
      <c r="K34">
        <f>J34+H34-I34</f>
        <v>3</v>
      </c>
    </row>
    <row r="35">
      <c r="A35" t="str">
        <v>PC-PO-033A</v>
      </c>
      <c r="B35" t="str">
        <v>pokemon</v>
      </c>
      <c r="C35" t="str">
        <v>DUSKNOIR</v>
      </c>
      <c r="D35" t="str">
        <v>SFA 020/064</v>
      </c>
      <c r="E35" t="str">
        <v>holo prize card</v>
      </c>
      <c r="F35" t="str">
        <v>HCM</v>
      </c>
      <c r="G35">
        <v>10</v>
      </c>
      <c r="H35">
        <v>1</v>
      </c>
      <c r="K35">
        <f>J35+H35-I35</f>
        <v>1</v>
      </c>
    </row>
    <row r="36">
      <c r="A36" t="str">
        <v>PC-PO-033</v>
      </c>
      <c r="B36" t="str">
        <v>pokemon</v>
      </c>
      <c r="C36" t="str">
        <v>AZUMARILL</v>
      </c>
      <c r="D36" t="str">
        <v>SSP EN 074/191</v>
      </c>
      <c r="E36" t="str">
        <v>prize card</v>
      </c>
      <c r="F36" t="str">
        <v>HCM</v>
      </c>
      <c r="G36">
        <v>8</v>
      </c>
      <c r="H36">
        <v>3</v>
      </c>
      <c r="K36">
        <f>J36+H36-I36</f>
        <v>3</v>
      </c>
      <c r="L36">
        <f>G36*K36</f>
        <v>24</v>
      </c>
    </row>
    <row r="37">
      <c r="A37" t="str">
        <v>PC-SUP-006</v>
      </c>
      <c r="B37" t="str">
        <v>suppoter</v>
      </c>
      <c r="C37" t="str">
        <v>COLRESS'S TENACITY</v>
      </c>
      <c r="D37" t="str">
        <v>SFA 057/064</v>
      </c>
      <c r="E37" t="str">
        <v>prize card</v>
      </c>
      <c r="F37" t="str">
        <v>HCM</v>
      </c>
      <c r="G37">
        <v>8</v>
      </c>
      <c r="H37">
        <v>7</v>
      </c>
      <c r="K37">
        <f>J37+H37-I37</f>
        <v>7</v>
      </c>
      <c r="L37">
        <f>G37*K37</f>
        <v>56</v>
      </c>
    </row>
    <row r="38">
      <c r="A38" t="str">
        <v>PC-SUP-006</v>
      </c>
      <c r="B38" t="str">
        <v>suppoter</v>
      </c>
      <c r="C38" t="str">
        <v>COLRESS'S TENACITY</v>
      </c>
      <c r="D38" t="str">
        <v>SFA 057/064</v>
      </c>
      <c r="E38" t="str">
        <v>holo prize card</v>
      </c>
      <c r="F38" t="str">
        <v>HCM</v>
      </c>
      <c r="G38">
        <v>8</v>
      </c>
      <c r="H38">
        <v>1</v>
      </c>
      <c r="K38">
        <f>J38+H38-I38</f>
        <v>1</v>
      </c>
      <c r="L38">
        <f>G38*K38</f>
        <v>8</v>
      </c>
    </row>
    <row r="39">
      <c r="A39" t="str">
        <v>SUP-10</v>
      </c>
      <c r="B39" t="str">
        <v>suppoter</v>
      </c>
      <c r="C39" t="str">
        <v>COLRESS'S TENACITY</v>
      </c>
      <c r="D39" t="str">
        <v>SFA 057/064</v>
      </c>
      <c r="E39" t="str">
        <v>normal</v>
      </c>
      <c r="F39" t="str">
        <v>HCM</v>
      </c>
      <c r="G39">
        <v>5</v>
      </c>
      <c r="H39">
        <v>0</v>
      </c>
      <c r="K39">
        <f>J39+H39-I39</f>
        <v>0</v>
      </c>
    </row>
    <row r="40">
      <c r="A40" t="str">
        <v>PC-TO-02</v>
      </c>
      <c r="B40" t="str">
        <v>tool</v>
      </c>
      <c r="C40" t="str">
        <v>COUNTER GAIN</v>
      </c>
      <c r="D40" t="str">
        <v>SSP EN 169/191</v>
      </c>
      <c r="E40" t="str">
        <v>prize card</v>
      </c>
      <c r="F40" t="str">
        <v>HCM</v>
      </c>
      <c r="G40">
        <v>7</v>
      </c>
      <c r="H40">
        <v>4</v>
      </c>
      <c r="K40">
        <f>J40+H40-I40</f>
        <v>4</v>
      </c>
      <c r="L40">
        <f>G40*K40</f>
        <v>28</v>
      </c>
    </row>
    <row r="41">
      <c r="A41" t="str">
        <v>PC-PO-035</v>
      </c>
      <c r="B41" t="str">
        <v>pokemon</v>
      </c>
      <c r="C41" t="str">
        <v>FARIGIRAF</v>
      </c>
      <c r="D41" t="str">
        <v>TWM EN 084/167</v>
      </c>
      <c r="E41" t="str">
        <v>prize card</v>
      </c>
      <c r="F41" t="str">
        <v>HCM</v>
      </c>
      <c r="G41">
        <v>7</v>
      </c>
      <c r="H41">
        <v>3</v>
      </c>
      <c r="K41">
        <f>J41+H41-I41</f>
        <v>3</v>
      </c>
      <c r="L41">
        <f>G41*K41</f>
        <v>21</v>
      </c>
    </row>
    <row r="42">
      <c r="B42" t="str">
        <v>pokemon</v>
      </c>
      <c r="C42" t="str">
        <v>FARIGIRAF</v>
      </c>
      <c r="D42" t="str">
        <v>TWM EN 084/167</v>
      </c>
      <c r="E42" t="str">
        <v>holo</v>
      </c>
      <c r="F42" t="str">
        <v>HCM</v>
      </c>
      <c r="H42">
        <v>1</v>
      </c>
      <c r="K42">
        <f>J42+H42-I42</f>
        <v>1</v>
      </c>
      <c r="L42">
        <f>G42*K42</f>
        <v>0</v>
      </c>
    </row>
    <row r="43">
      <c r="A43" t="str">
        <v>PC-PO-020</v>
      </c>
      <c r="B43" t="str">
        <v>pokemon</v>
      </c>
      <c r="C43" t="str">
        <v>GASTRODON</v>
      </c>
      <c r="D43" t="str">
        <v>SSP EN 107/191</v>
      </c>
      <c r="E43" t="str">
        <v>prize card</v>
      </c>
      <c r="F43" t="str">
        <v>HCM</v>
      </c>
      <c r="G43">
        <v>7</v>
      </c>
      <c r="H43">
        <v>1</v>
      </c>
      <c r="K43">
        <f>J43+H43-I43</f>
        <v>1</v>
      </c>
      <c r="L43">
        <f>G43*K43</f>
        <v>7</v>
      </c>
    </row>
    <row r="44">
      <c r="A44" t="str">
        <v>PC-PO-021</v>
      </c>
      <c r="B44" t="str">
        <v>pokemon</v>
      </c>
      <c r="C44" t="str">
        <v>GREAT TUSK</v>
      </c>
      <c r="D44" t="str">
        <v>TEF EN 097/162</v>
      </c>
      <c r="E44" t="str">
        <v>prize card</v>
      </c>
      <c r="F44" t="str">
        <v>HCM</v>
      </c>
      <c r="G44">
        <v>7</v>
      </c>
      <c r="H44">
        <v>7</v>
      </c>
      <c r="K44">
        <f>J44+H44-I44</f>
        <v>7</v>
      </c>
      <c r="L44">
        <f>G44*K44</f>
        <v>49</v>
      </c>
    </row>
    <row r="45">
      <c r="A45" t="str">
        <v>PC-PO-022</v>
      </c>
      <c r="B45" t="str">
        <v>pokemon</v>
      </c>
      <c r="C45" t="str">
        <v>HO-OH</v>
      </c>
      <c r="D45" t="str">
        <v>SSP EN 019/191</v>
      </c>
      <c r="E45" t="str">
        <v>prize card</v>
      </c>
      <c r="F45" t="str">
        <v>HCM</v>
      </c>
      <c r="G45">
        <v>7</v>
      </c>
      <c r="H45">
        <v>1</v>
      </c>
      <c r="K45">
        <f>J45+H45-I45</f>
        <v>1</v>
      </c>
      <c r="L45">
        <f>G45*K45</f>
        <v>7</v>
      </c>
    </row>
    <row r="46">
      <c r="A46" t="str">
        <v>PC-PO-011</v>
      </c>
      <c r="B46" t="str">
        <v>pokemon</v>
      </c>
      <c r="C46" t="str">
        <v>MIRAIDON</v>
      </c>
      <c r="D46" t="str">
        <v>TEF EN 121/162</v>
      </c>
      <c r="E46" t="str">
        <v>prize card</v>
      </c>
      <c r="F46" t="str">
        <v>HCM</v>
      </c>
      <c r="G46">
        <v>7</v>
      </c>
      <c r="H46">
        <v>8</v>
      </c>
      <c r="K46">
        <f>J46+H46-I46</f>
        <v>8</v>
      </c>
      <c r="L46">
        <f>G46*K46</f>
        <v>56</v>
      </c>
    </row>
    <row r="47">
      <c r="A47" t="str">
        <v>EX-LB-04</v>
      </c>
      <c r="B47" t="str">
        <v>pokemon</v>
      </c>
      <c r="C47" t="str">
        <v>MIRAIDON</v>
      </c>
      <c r="D47" t="str">
        <v>SSP 081/198</v>
      </c>
      <c r="E47" t="str">
        <v>ex</v>
      </c>
      <c r="F47" t="str">
        <v>HCM</v>
      </c>
      <c r="H47">
        <v>1</v>
      </c>
      <c r="K47">
        <f>J47+H47-I47</f>
        <v>1</v>
      </c>
    </row>
    <row r="48">
      <c r="A48" t="str">
        <v>PO-Y-24</v>
      </c>
      <c r="B48" t="str">
        <v>pokemon</v>
      </c>
      <c r="C48" t="str">
        <v>MIRAIDON</v>
      </c>
      <c r="D48" t="str">
        <v>TEF EN 121/162</v>
      </c>
      <c r="E48" t="str">
        <v>holo</v>
      </c>
      <c r="F48" t="str">
        <v>HCM</v>
      </c>
      <c r="G48">
        <v>8</v>
      </c>
      <c r="H48">
        <v>2</v>
      </c>
      <c r="K48">
        <f>J48+H48-I48</f>
        <v>2</v>
      </c>
      <c r="L48">
        <f>G48*K48</f>
        <v>16</v>
      </c>
    </row>
    <row r="49">
      <c r="A49" t="str">
        <v>PC-PO-017</v>
      </c>
      <c r="B49" t="str">
        <v>pokemon</v>
      </c>
      <c r="C49" t="str">
        <v>TAPU KOKO</v>
      </c>
      <c r="D49" t="str">
        <v>SSP EN 065/191</v>
      </c>
      <c r="E49" t="str">
        <v>prize card</v>
      </c>
      <c r="F49" t="str">
        <v>HCM</v>
      </c>
      <c r="G49">
        <v>7</v>
      </c>
      <c r="H49">
        <v>2</v>
      </c>
      <c r="K49">
        <f>J49+H49-I49</f>
        <v>2</v>
      </c>
      <c r="L49">
        <f>G49*K49</f>
        <v>14</v>
      </c>
    </row>
    <row r="50">
      <c r="A50" t="str">
        <v>PC-PO-036</v>
      </c>
      <c r="B50" t="str">
        <v>pokemon</v>
      </c>
      <c r="C50" t="str">
        <v>FEZANDIPITI</v>
      </c>
      <c r="D50" t="str">
        <v>TWM EN 096/167</v>
      </c>
      <c r="E50" t="str">
        <v>prize card</v>
      </c>
      <c r="F50" t="str">
        <v>HCM</v>
      </c>
      <c r="G50">
        <v>8</v>
      </c>
      <c r="H50">
        <v>8</v>
      </c>
      <c r="K50">
        <f>J50+H50-I50</f>
        <v>8</v>
      </c>
      <c r="L50">
        <f>G50*K50</f>
        <v>64</v>
      </c>
    </row>
    <row r="51">
      <c r="A51" t="str">
        <v>EX-DB-04</v>
      </c>
      <c r="B51" t="str">
        <v>pokemon</v>
      </c>
      <c r="C51" t="str">
        <v>FEZANDIPITI</v>
      </c>
      <c r="D51" t="str">
        <v>SFA 038/064</v>
      </c>
      <c r="E51" t="str">
        <v>ex</v>
      </c>
      <c r="F51" t="str">
        <v>HCM</v>
      </c>
      <c r="H51">
        <v>1</v>
      </c>
      <c r="K51">
        <f>J51+H51-I51</f>
        <v>1</v>
      </c>
    </row>
    <row r="52">
      <c r="A52" t="str">
        <v>PO-P-11</v>
      </c>
      <c r="B52" t="str">
        <v>pokemon</v>
      </c>
      <c r="C52" t="str">
        <v>FEZANDIPITI</v>
      </c>
      <c r="D52" t="str">
        <v>TWM EN 096/167</v>
      </c>
      <c r="E52" t="str">
        <v>holo</v>
      </c>
      <c r="F52" t="str">
        <v>HCM</v>
      </c>
      <c r="G52">
        <v>5</v>
      </c>
      <c r="H52">
        <v>1</v>
      </c>
      <c r="K52">
        <f>J52+H52-I52</f>
        <v>1</v>
      </c>
    </row>
    <row r="53">
      <c r="A53" t="str">
        <v>PO-P-11</v>
      </c>
      <c r="B53" t="str">
        <v>pokemon</v>
      </c>
      <c r="C53" t="str">
        <v>FEZANDIPITI</v>
      </c>
      <c r="D53" t="str">
        <v>TWM EN 096/167</v>
      </c>
      <c r="E53" t="str">
        <v>normal</v>
      </c>
      <c r="F53" t="str">
        <v>HCM</v>
      </c>
      <c r="G53">
        <v>4</v>
      </c>
      <c r="H53">
        <v>19</v>
      </c>
      <c r="J53">
        <v>11</v>
      </c>
      <c r="K53">
        <f>J53+H53-I53</f>
        <v>30</v>
      </c>
      <c r="L53">
        <f>G53*K53</f>
        <v>120</v>
      </c>
    </row>
    <row r="54">
      <c r="A54" t="str">
        <v>PO-P-11</v>
      </c>
      <c r="B54" t="str">
        <v>pokemon</v>
      </c>
      <c r="C54" t="str">
        <v>FEZANDIPITI</v>
      </c>
      <c r="D54" t="str">
        <v>PRE 045/131</v>
      </c>
      <c r="E54" t="str">
        <v>normal</v>
      </c>
      <c r="F54" t="str">
        <v>HCM</v>
      </c>
      <c r="G54">
        <v>4</v>
      </c>
      <c r="H54">
        <v>3</v>
      </c>
      <c r="K54">
        <f>J54+H54-I54</f>
        <v>3</v>
      </c>
      <c r="L54">
        <f>G54*K54</f>
        <v>12</v>
      </c>
    </row>
    <row r="55">
      <c r="A55" t="str">
        <v>PO-P-11</v>
      </c>
      <c r="B55" t="str">
        <v>pokemon</v>
      </c>
      <c r="C55" t="str">
        <v>FEZANDIPITI</v>
      </c>
      <c r="D55" t="str">
        <v>PRE 045/131</v>
      </c>
      <c r="E55" t="str">
        <v>holo</v>
      </c>
      <c r="F55" t="str">
        <v>HCM</v>
      </c>
      <c r="G55">
        <v>5</v>
      </c>
      <c r="H55">
        <v>1</v>
      </c>
      <c r="K55">
        <f>J55+H55-I55</f>
        <v>1</v>
      </c>
      <c r="L55">
        <f>G55*K55</f>
        <v>5</v>
      </c>
    </row>
    <row r="56">
      <c r="A56" t="str">
        <v>PC-TO-01</v>
      </c>
      <c r="B56" t="str">
        <v>tool</v>
      </c>
      <c r="C56" t="str">
        <v>HOP'S CHOICE BAND</v>
      </c>
      <c r="D56" t="str">
        <v>JTG EN 148/159</v>
      </c>
      <c r="E56" t="str">
        <v>holo prize card</v>
      </c>
      <c r="F56" t="str">
        <v>HCM</v>
      </c>
      <c r="G56">
        <v>7</v>
      </c>
      <c r="H56">
        <v>2</v>
      </c>
      <c r="K56">
        <f>J56+H56-I56</f>
        <v>2</v>
      </c>
      <c r="L56">
        <f>G56*K56</f>
        <v>14</v>
      </c>
    </row>
    <row r="57">
      <c r="A57" t="str">
        <v>PC-STA-07</v>
      </c>
      <c r="B57" t="str">
        <v>pokemon</v>
      </c>
      <c r="C57" t="str">
        <v>LEVINCIA</v>
      </c>
      <c r="D57" t="str">
        <v>JTG EN 150/159</v>
      </c>
      <c r="E57" t="str">
        <v>holo prize card</v>
      </c>
      <c r="F57" t="str">
        <v>HCM</v>
      </c>
      <c r="G57">
        <v>10</v>
      </c>
      <c r="H57">
        <v>2</v>
      </c>
      <c r="K57">
        <f>J57+H57-I57</f>
        <v>2</v>
      </c>
      <c r="L57">
        <f>G57*K57</f>
        <v>20</v>
      </c>
    </row>
    <row r="58">
      <c r="A58" t="str">
        <v>PC-STA-07</v>
      </c>
      <c r="B58" t="str">
        <v>pokemon</v>
      </c>
      <c r="C58" t="str">
        <v>LEVINCIA</v>
      </c>
      <c r="D58" t="str">
        <v>JTG EN 150/159</v>
      </c>
      <c r="E58" t="str">
        <v>prize card</v>
      </c>
      <c r="F58" t="str">
        <v>HCM</v>
      </c>
      <c r="G58">
        <v>8</v>
      </c>
      <c r="H58">
        <v>4</v>
      </c>
      <c r="K58">
        <f>J58+H58-I58</f>
        <v>4</v>
      </c>
      <c r="L58">
        <f>G58*K58</f>
        <v>32</v>
      </c>
    </row>
    <row r="59">
      <c r="A59" t="str">
        <v>PC-TO-05</v>
      </c>
      <c r="B59" t="str">
        <v>tool</v>
      </c>
      <c r="C59" t="str">
        <v>LILLIE'S PEARL</v>
      </c>
      <c r="D59" t="str">
        <v>JTG EN 151/159</v>
      </c>
      <c r="E59" t="str">
        <v>holo prize card</v>
      </c>
      <c r="F59" t="str">
        <v>HCM</v>
      </c>
      <c r="G59">
        <v>10</v>
      </c>
      <c r="H59">
        <v>1</v>
      </c>
      <c r="K59">
        <f>J59+H59-I59</f>
        <v>1</v>
      </c>
      <c r="L59">
        <f>G59*K59</f>
        <v>10</v>
      </c>
    </row>
    <row r="60">
      <c r="A60" t="str">
        <v>PC-PO-006</v>
      </c>
      <c r="B60" t="str">
        <v>pokemon</v>
      </c>
      <c r="C60" t="str">
        <v>METANG</v>
      </c>
      <c r="D60" t="str">
        <v>TEF EN 114/162</v>
      </c>
      <c r="E60" t="str">
        <v>holo prize card</v>
      </c>
      <c r="F60" t="str">
        <v>HCM</v>
      </c>
      <c r="G60">
        <v>8</v>
      </c>
      <c r="H60">
        <v>3</v>
      </c>
      <c r="K60">
        <f>J60+H60-I60</f>
        <v>3</v>
      </c>
      <c r="L60">
        <f>G60*K60</f>
        <v>24</v>
      </c>
    </row>
    <row r="61">
      <c r="A61" t="str">
        <v>PC-PO-002</v>
      </c>
      <c r="B61" t="str">
        <v>pokemon</v>
      </c>
      <c r="C61" t="str">
        <v>Bouffalant</v>
      </c>
      <c r="D61" t="str">
        <v>SCR EN 119/142</v>
      </c>
      <c r="E61" t="str">
        <v>prize card</v>
      </c>
      <c r="F61" t="str">
        <v>HCM</v>
      </c>
      <c r="G61">
        <v>10</v>
      </c>
      <c r="H61">
        <v>11</v>
      </c>
      <c r="K61">
        <f>J61+H61-I61</f>
        <v>11</v>
      </c>
      <c r="L61">
        <f>G61*K61</f>
        <v>110</v>
      </c>
    </row>
    <row r="62">
      <c r="A62" t="str">
        <v>PC-ENERGY-3</v>
      </c>
      <c r="B62" t="str">
        <v>pokemon</v>
      </c>
      <c r="C62" t="str">
        <v>Fighting Basic Energy</v>
      </c>
      <c r="D62" t="str">
        <v>SVE EN 014</v>
      </c>
      <c r="E62" t="str">
        <v>prize card</v>
      </c>
      <c r="F62" t="str">
        <v>HCM</v>
      </c>
      <c r="G62">
        <v>10</v>
      </c>
      <c r="H62">
        <v>2</v>
      </c>
      <c r="K62">
        <f>J62+H62-I62</f>
        <v>2</v>
      </c>
      <c r="L62">
        <f>G62*K62</f>
        <v>20</v>
      </c>
    </row>
    <row r="63">
      <c r="A63" t="str">
        <v>PC-ENERGY-1</v>
      </c>
      <c r="B63" t="str">
        <v>pokemon</v>
      </c>
      <c r="C63" t="str">
        <v>Grass Basic Energy</v>
      </c>
      <c r="D63" t="str">
        <v>SVE EN 009</v>
      </c>
      <c r="E63" t="str">
        <v>prize card</v>
      </c>
      <c r="F63" t="str">
        <v>HCM</v>
      </c>
      <c r="G63">
        <v>10</v>
      </c>
      <c r="H63">
        <v>4</v>
      </c>
      <c r="K63">
        <f>J63+H63-I63</f>
        <v>4</v>
      </c>
      <c r="L63">
        <f>G63*K63</f>
        <v>40</v>
      </c>
    </row>
    <row r="64">
      <c r="A64" t="str">
        <v>PC-IT-07</v>
      </c>
      <c r="B64" t="str">
        <v>item</v>
      </c>
      <c r="C64" t="str">
        <v>GLASS TRUMPET</v>
      </c>
      <c r="D64" t="str">
        <v>SCR EN 135/142</v>
      </c>
      <c r="E64" t="str">
        <v>prize card</v>
      </c>
      <c r="F64" t="str">
        <v>HCM</v>
      </c>
      <c r="G64">
        <v>10</v>
      </c>
      <c r="H64">
        <v>7</v>
      </c>
      <c r="K64">
        <f>J64+H64-I64</f>
        <v>7</v>
      </c>
      <c r="L64">
        <f>G64*K64</f>
        <v>70</v>
      </c>
    </row>
    <row r="65">
      <c r="A65" t="str">
        <v>PC-PO-005</v>
      </c>
      <c r="B65" t="str">
        <v>pokemon</v>
      </c>
      <c r="C65" t="str">
        <v>HEATRAN</v>
      </c>
      <c r="D65" t="str">
        <v>TWM EN 123/167</v>
      </c>
      <c r="E65" t="str">
        <v>holo prize card</v>
      </c>
      <c r="F65" t="str">
        <v>HCM</v>
      </c>
      <c r="G65">
        <v>7</v>
      </c>
      <c r="H65">
        <v>3</v>
      </c>
      <c r="K65">
        <f>J65+H65-I65</f>
        <v>3</v>
      </c>
      <c r="L65">
        <f>G65*K65</f>
        <v>21</v>
      </c>
    </row>
    <row r="66">
      <c r="A66" t="str">
        <v>PC-PO-005</v>
      </c>
      <c r="B66" t="str">
        <v>pokemon</v>
      </c>
      <c r="C66" t="str">
        <v>HEATRAN</v>
      </c>
      <c r="D66" t="str">
        <v>TWM EN 123/167</v>
      </c>
      <c r="E66" t="str">
        <v>prize card</v>
      </c>
      <c r="F66" t="str">
        <v>HCM</v>
      </c>
      <c r="G66">
        <v>7</v>
      </c>
      <c r="H66">
        <v>3</v>
      </c>
      <c r="J66">
        <v>6</v>
      </c>
      <c r="K66">
        <f>J66+H66-I66</f>
        <v>9</v>
      </c>
      <c r="L66">
        <f>G66*K66</f>
        <v>63</v>
      </c>
    </row>
    <row r="67">
      <c r="A67" t="str">
        <v>PC-ENERGY-4</v>
      </c>
      <c r="B67" t="str">
        <v xml:space="preserve">energy  </v>
      </c>
      <c r="C67" t="str">
        <v>Metal Basic Energy</v>
      </c>
      <c r="D67" t="str">
        <v>SVE EN 016</v>
      </c>
      <c r="E67" t="str">
        <v>prize card</v>
      </c>
      <c r="F67" t="str">
        <v>HCM</v>
      </c>
      <c r="G67">
        <v>10</v>
      </c>
      <c r="H67">
        <v>4</v>
      </c>
      <c r="K67">
        <f>J67+H67-I67</f>
        <v>4</v>
      </c>
      <c r="L67">
        <f>G67*K67</f>
        <v>40</v>
      </c>
    </row>
    <row r="68">
      <c r="A68" t="str">
        <v>PC-ENERGY-5</v>
      </c>
      <c r="B68" t="str">
        <v xml:space="preserve">energy  </v>
      </c>
      <c r="C68" t="str">
        <v>Physic Basic Energy</v>
      </c>
      <c r="D68" t="str">
        <v>SVE EN 013</v>
      </c>
      <c r="E68" t="str">
        <v>prize card</v>
      </c>
      <c r="F68" t="str">
        <v>HCM</v>
      </c>
      <c r="G68">
        <v>10</v>
      </c>
      <c r="H68">
        <v>1</v>
      </c>
      <c r="K68">
        <f>J68+H68-I68</f>
        <v>1</v>
      </c>
      <c r="L68">
        <f>G68*K68</f>
        <v>10</v>
      </c>
    </row>
    <row r="69">
      <c r="A69" t="str">
        <v>PC-TO-03</v>
      </c>
      <c r="B69" t="str">
        <v>tool</v>
      </c>
      <c r="C69" t="str">
        <v>POWERGLASS</v>
      </c>
      <c r="D69" t="str">
        <v>SFA 063/064</v>
      </c>
      <c r="E69" t="str">
        <v>prize card</v>
      </c>
      <c r="F69" t="str">
        <v>HCM</v>
      </c>
      <c r="G69">
        <v>10</v>
      </c>
      <c r="H69">
        <v>5</v>
      </c>
      <c r="I69">
        <v>4</v>
      </c>
      <c r="K69">
        <f>J69+H69-I69</f>
        <v>1</v>
      </c>
      <c r="L69">
        <f>G69*K69</f>
        <v>10</v>
      </c>
    </row>
    <row r="70">
      <c r="A70" t="str">
        <v>PC-TO-03</v>
      </c>
      <c r="B70" t="str">
        <v>tool</v>
      </c>
      <c r="C70" t="str">
        <v>POWERGLASS</v>
      </c>
      <c r="D70" t="str">
        <v>SFA 063/064</v>
      </c>
      <c r="E70" t="str">
        <v>holo prize card</v>
      </c>
      <c r="F70" t="str">
        <v>HCM</v>
      </c>
      <c r="G70">
        <v>9</v>
      </c>
      <c r="H70">
        <v>1</v>
      </c>
      <c r="I70">
        <v>0</v>
      </c>
      <c r="K70">
        <f>J70+H70-I70</f>
        <v>1</v>
      </c>
      <c r="L70">
        <f>G70*K70</f>
        <v>9</v>
      </c>
    </row>
    <row r="71">
      <c r="A71" t="str">
        <v>TO-30</v>
      </c>
      <c r="B71" t="str">
        <v>tool</v>
      </c>
      <c r="C71" t="str">
        <v>POWERGLASS</v>
      </c>
      <c r="D71" t="str">
        <v>SFA 063/064</v>
      </c>
      <c r="E71" t="str">
        <v>normal</v>
      </c>
      <c r="F71" t="str">
        <v>HCM</v>
      </c>
      <c r="G71">
        <v>8</v>
      </c>
      <c r="H71">
        <v>1</v>
      </c>
      <c r="K71">
        <f>J71+H71-I71</f>
        <v>1</v>
      </c>
    </row>
    <row r="72">
      <c r="A72" t="str">
        <v>PC-PO-008</v>
      </c>
      <c r="B72" t="str">
        <v>pokemon</v>
      </c>
      <c r="C72" t="str">
        <v>HOP'S SNORLAX</v>
      </c>
      <c r="D72" t="str">
        <v>JTG EN 117/159</v>
      </c>
      <c r="E72" t="str">
        <v>prize card</v>
      </c>
      <c r="F72" t="str">
        <v>HCM</v>
      </c>
      <c r="G72">
        <v>10</v>
      </c>
      <c r="H72">
        <v>1</v>
      </c>
      <c r="K72">
        <f>J72+H72-I72</f>
        <v>1</v>
      </c>
      <c r="L72">
        <f>G72*K72</f>
        <v>10</v>
      </c>
    </row>
    <row r="73">
      <c r="A73" t="str">
        <v>PC-PO-013</v>
      </c>
      <c r="B73" t="str">
        <v>pokemon</v>
      </c>
      <c r="C73" t="str">
        <v>TATSUGIRI</v>
      </c>
      <c r="D73" t="str">
        <v>TWM EN 131/167</v>
      </c>
      <c r="E73" t="str">
        <v>prize card</v>
      </c>
      <c r="F73" t="str">
        <v>HCM</v>
      </c>
      <c r="G73">
        <v>10</v>
      </c>
      <c r="H73">
        <v>5</v>
      </c>
      <c r="K73">
        <f>J73+H73-I73</f>
        <v>5</v>
      </c>
      <c r="L73">
        <f>G73*K73</f>
        <v>50</v>
      </c>
    </row>
    <row r="74">
      <c r="A74" t="str">
        <v>PC-ENERGY-2</v>
      </c>
      <c r="B74" t="str">
        <v xml:space="preserve">energy  </v>
      </c>
      <c r="C74" t="str">
        <v>Water Basic Energy</v>
      </c>
      <c r="D74" t="str">
        <v>SVE EN 011</v>
      </c>
      <c r="E74" t="str">
        <v>prize card</v>
      </c>
      <c r="F74" t="str">
        <v>HCM</v>
      </c>
      <c r="G74">
        <v>10</v>
      </c>
      <c r="H74">
        <v>7</v>
      </c>
      <c r="K74">
        <f>J74+H74-I74</f>
        <v>7</v>
      </c>
      <c r="L74">
        <f>G74*K74</f>
        <v>70</v>
      </c>
    </row>
    <row r="75">
      <c r="A75" t="str">
        <v>SUP-48</v>
      </c>
      <c r="B75" t="str">
        <v>suppoter</v>
      </c>
      <c r="C75" t="str">
        <v>Team Rocket's Petrel</v>
      </c>
      <c r="D75" t="str">
        <v>DRI 176/183</v>
      </c>
      <c r="E75" t="str">
        <v>holo</v>
      </c>
      <c r="F75" t="str">
        <v>HCM</v>
      </c>
      <c r="G75">
        <v>10</v>
      </c>
      <c r="H75">
        <v>1</v>
      </c>
      <c r="K75">
        <f>J75+H75-I75</f>
        <v>1</v>
      </c>
      <c r="L75">
        <f>G75*K75</f>
        <v>10</v>
      </c>
    </row>
    <row r="76">
      <c r="A76" t="str">
        <v>SUP-48</v>
      </c>
      <c r="B76" t="str">
        <v>suppoter</v>
      </c>
      <c r="C76" t="str">
        <v>Team Rocket's Petrel</v>
      </c>
      <c r="D76" t="str">
        <v>ASC 207/217</v>
      </c>
      <c r="E76" t="str">
        <v>normal</v>
      </c>
      <c r="F76" t="str">
        <v>HCM</v>
      </c>
      <c r="G76">
        <v>7</v>
      </c>
      <c r="H76">
        <v>3</v>
      </c>
      <c r="K76">
        <f>J76+H76-I76</f>
        <v>3</v>
      </c>
      <c r="L76">
        <f>G76*K76</f>
        <v>21</v>
      </c>
    </row>
    <row r="77">
      <c r="A77" t="str">
        <v>TO-25</v>
      </c>
      <c r="B77" t="str">
        <v>tool</v>
      </c>
      <c r="C77" t="str">
        <v>COUNTER GAIN</v>
      </c>
      <c r="D77" t="str">
        <v>ASC 186/217</v>
      </c>
      <c r="E77" t="str">
        <v>normal</v>
      </c>
      <c r="F77" t="str">
        <v>HCM</v>
      </c>
      <c r="G77">
        <v>7</v>
      </c>
      <c r="H77">
        <v>1</v>
      </c>
      <c r="K77">
        <f>J77+H77-I77</f>
        <v>1</v>
      </c>
      <c r="L77">
        <f>G77*K77</f>
        <v>7</v>
      </c>
    </row>
    <row r="78">
      <c r="A78" t="str">
        <v>STA-12</v>
      </c>
      <c r="B78" t="str">
        <v>stadium</v>
      </c>
      <c r="C78" t="str">
        <v>LEVINCIA</v>
      </c>
      <c r="D78" t="str">
        <v>JTG 150/159</v>
      </c>
      <c r="E78" t="str">
        <v>normal</v>
      </c>
      <c r="F78" t="str">
        <v>HCM</v>
      </c>
      <c r="G78">
        <v>4</v>
      </c>
      <c r="H78">
        <v>19</v>
      </c>
      <c r="K78">
        <f>J78+H78-I78</f>
        <v>19</v>
      </c>
      <c r="L78">
        <f>G78*K78</f>
        <v>76</v>
      </c>
    </row>
    <row r="79">
      <c r="A79" t="str">
        <v>STA-12</v>
      </c>
      <c r="B79" t="str">
        <v>stadium</v>
      </c>
      <c r="C79" t="str">
        <v>LEVINCIA</v>
      </c>
      <c r="D79" t="str">
        <v>JTG 150/159</v>
      </c>
      <c r="E79" t="str">
        <v>holo</v>
      </c>
      <c r="F79" t="str">
        <v>HCM</v>
      </c>
      <c r="G79">
        <v>5</v>
      </c>
      <c r="H79">
        <v>1</v>
      </c>
      <c r="K79">
        <f>J79+H79-I79</f>
        <v>1</v>
      </c>
    </row>
    <row r="80">
      <c r="A80" t="str">
        <v>TO-14</v>
      </c>
      <c r="B80" t="str">
        <v>tool</v>
      </c>
      <c r="C80" t="str">
        <v>LILLIE'S PEARL</v>
      </c>
      <c r="D80" t="str">
        <v>JTG 151/159</v>
      </c>
      <c r="E80" t="str">
        <v>holo</v>
      </c>
      <c r="F80" t="str">
        <v>HCM</v>
      </c>
      <c r="G80">
        <v>8</v>
      </c>
      <c r="H80">
        <v>1</v>
      </c>
      <c r="K80">
        <f>J80+H80-I80</f>
        <v>1</v>
      </c>
      <c r="L80">
        <f>G80*K80</f>
        <v>8</v>
      </c>
    </row>
    <row r="81">
      <c r="A81" t="str">
        <v>TO-14</v>
      </c>
      <c r="B81" t="str">
        <v>tool</v>
      </c>
      <c r="C81" t="str">
        <v>LILLIE'S PEARL</v>
      </c>
      <c r="D81" t="str">
        <v>JTG 151/159</v>
      </c>
      <c r="E81" t="str">
        <v>normal</v>
      </c>
      <c r="F81" t="str">
        <v>HCM</v>
      </c>
      <c r="G81">
        <v>6</v>
      </c>
      <c r="H81">
        <v>15</v>
      </c>
      <c r="K81">
        <f>J81+H81-I81</f>
        <v>15</v>
      </c>
      <c r="L81">
        <f>G81*K81</f>
        <v>90</v>
      </c>
    </row>
    <row r="82">
      <c r="A82" t="str">
        <v>SUP-50</v>
      </c>
      <c r="B82" t="str">
        <v>suppoter</v>
      </c>
      <c r="C82" t="str">
        <v>Boss's Order</v>
      </c>
      <c r="D82" t="str">
        <v>D 58/72</v>
      </c>
      <c r="E82" t="str">
        <v>holo</v>
      </c>
      <c r="F82" t="str">
        <v>HCM</v>
      </c>
      <c r="G82">
        <v>15</v>
      </c>
      <c r="H82">
        <v>0</v>
      </c>
      <c r="K82">
        <f>J82+H82-I82</f>
        <v>0</v>
      </c>
      <c r="L82">
        <f>G82*K82</f>
        <v>0</v>
      </c>
    </row>
    <row r="83">
      <c r="A83" t="str">
        <v>SUP-50</v>
      </c>
      <c r="B83" t="str">
        <v>suppoter</v>
      </c>
      <c r="C83" t="str">
        <v>Boss's Order</v>
      </c>
      <c r="D83" t="str">
        <v>D 58/73</v>
      </c>
      <c r="E83" t="str">
        <v>normal</v>
      </c>
      <c r="F83" t="str">
        <v>HCM</v>
      </c>
      <c r="G83">
        <v>10</v>
      </c>
      <c r="H83">
        <v>0</v>
      </c>
      <c r="K83">
        <f>J83+H83-I83</f>
        <v>0</v>
      </c>
      <c r="L83">
        <f>G83*K83</f>
        <v>0</v>
      </c>
    </row>
    <row r="84">
      <c r="A84" t="str">
        <v>SUP-50</v>
      </c>
      <c r="B84" t="str">
        <v>suppoter</v>
      </c>
      <c r="C84" t="str">
        <v>Boss's Order</v>
      </c>
      <c r="D84" t="str">
        <v>MEG 114/132</v>
      </c>
      <c r="E84" t="str">
        <v>normal</v>
      </c>
      <c r="F84" t="str">
        <v>HCM</v>
      </c>
      <c r="G84">
        <v>7</v>
      </c>
      <c r="H84">
        <v>2</v>
      </c>
      <c r="K84">
        <f>J84+H84-I84</f>
        <v>2</v>
      </c>
      <c r="L84">
        <f>G84*K84</f>
        <v>14</v>
      </c>
    </row>
    <row r="85">
      <c r="A85" t="str">
        <v>SUP-50</v>
      </c>
      <c r="B85" t="str">
        <v>suppoter</v>
      </c>
      <c r="C85" t="str">
        <v>Boss's Order</v>
      </c>
      <c r="D85" t="str">
        <v>PAL 172/193</v>
      </c>
      <c r="E85" t="str">
        <v>holo</v>
      </c>
      <c r="F85" t="str">
        <v>HCM</v>
      </c>
      <c r="G85">
        <v>10</v>
      </c>
      <c r="H85">
        <v>0</v>
      </c>
      <c r="K85">
        <f>J85+H85-I85</f>
        <v>0</v>
      </c>
      <c r="L85">
        <f>G85*K85</f>
        <v>0</v>
      </c>
    </row>
    <row r="86">
      <c r="A86" t="str">
        <v>SUP-21A</v>
      </c>
      <c r="B86" t="str">
        <v>suppoter</v>
      </c>
      <c r="C86" t="str">
        <v xml:space="preserve">Judge </v>
      </c>
      <c r="D86" t="str">
        <v>POR 076/088</v>
      </c>
      <c r="E86" t="str">
        <v>normal</v>
      </c>
      <c r="F86" t="str">
        <v>HCM</v>
      </c>
      <c r="G86">
        <v>6</v>
      </c>
      <c r="H86">
        <v>24</v>
      </c>
      <c r="K86">
        <f>J86+H86-I86</f>
        <v>24</v>
      </c>
      <c r="L86">
        <f>G86*K86</f>
        <v>144</v>
      </c>
    </row>
    <row r="87">
      <c r="A87" t="str">
        <v>SUP-21A</v>
      </c>
      <c r="B87" t="str">
        <v>suppoter</v>
      </c>
      <c r="C87" t="str">
        <v xml:space="preserve">Judge </v>
      </c>
      <c r="D87" t="str">
        <v>POR 076/088</v>
      </c>
      <c r="E87" t="str">
        <v>holo</v>
      </c>
      <c r="F87" t="str">
        <v>HCM</v>
      </c>
      <c r="G87">
        <v>6</v>
      </c>
      <c r="H87">
        <v>1</v>
      </c>
      <c r="K87">
        <f>J87+H87-I87</f>
        <v>1</v>
      </c>
      <c r="L87">
        <f>G87*K87</f>
        <v>6</v>
      </c>
    </row>
    <row r="88">
      <c r="A88" t="str">
        <v>SUP-21B</v>
      </c>
      <c r="B88" t="str">
        <v>suppoter</v>
      </c>
      <c r="C88" t="str">
        <v xml:space="preserve">Judge </v>
      </c>
      <c r="D88" t="str">
        <v>E 235/264</v>
      </c>
      <c r="E88" t="str">
        <v>normal</v>
      </c>
      <c r="F88" t="str">
        <v>HCM</v>
      </c>
      <c r="G88">
        <v>6</v>
      </c>
      <c r="H88">
        <v>6</v>
      </c>
      <c r="K88">
        <f>J88+H88-I88</f>
        <v>6</v>
      </c>
      <c r="L88">
        <f>G88*K88</f>
        <v>36</v>
      </c>
    </row>
    <row r="89">
      <c r="A89" t="str">
        <v>SUP-21</v>
      </c>
      <c r="B89" t="str">
        <v>suppoter</v>
      </c>
      <c r="C89" t="str">
        <v xml:space="preserve">Judge </v>
      </c>
      <c r="D89" t="str">
        <v>SVI 176/198</v>
      </c>
      <c r="E89" t="str">
        <v>normal</v>
      </c>
      <c r="F89" t="str">
        <v>HCM</v>
      </c>
      <c r="G89">
        <v>6</v>
      </c>
      <c r="H89">
        <v>1</v>
      </c>
      <c r="K89">
        <f>J89+H89-I89</f>
        <v>1</v>
      </c>
      <c r="L89">
        <f>G89*K89</f>
        <v>6</v>
      </c>
    </row>
    <row r="90">
      <c r="A90" t="str">
        <v>SUP-21</v>
      </c>
      <c r="B90" t="str">
        <v>suppoter</v>
      </c>
      <c r="C90" t="str">
        <v xml:space="preserve">Judge </v>
      </c>
      <c r="D90" t="str">
        <v>SVI 176/198</v>
      </c>
      <c r="E90" t="str">
        <v>holo</v>
      </c>
      <c r="F90" t="str">
        <v>HCM</v>
      </c>
      <c r="G90">
        <v>7</v>
      </c>
      <c r="H90">
        <v>1</v>
      </c>
      <c r="K90">
        <f>J90+H90-I90</f>
        <v>1</v>
      </c>
      <c r="L90">
        <f>G90*K90</f>
        <v>7</v>
      </c>
    </row>
    <row r="91">
      <c r="A91" t="str">
        <v>SUP-21A</v>
      </c>
      <c r="B91" t="str">
        <v>suppoter</v>
      </c>
      <c r="C91" t="str">
        <v xml:space="preserve">Judge </v>
      </c>
      <c r="D91" t="str">
        <v>DRI 167/182</v>
      </c>
      <c r="E91" t="str">
        <v>holo</v>
      </c>
      <c r="F91" t="str">
        <v>HCM</v>
      </c>
      <c r="G91">
        <v>7</v>
      </c>
      <c r="H91">
        <v>2</v>
      </c>
      <c r="K91">
        <f>J91+H91-I91</f>
        <v>2</v>
      </c>
      <c r="L91">
        <f>G91*K91</f>
        <v>14</v>
      </c>
    </row>
    <row r="92">
      <c r="A92" t="str">
        <v>SUP-11</v>
      </c>
      <c r="B92" t="str">
        <v>suppoter</v>
      </c>
      <c r="C92" t="str">
        <v>Cyrano</v>
      </c>
      <c r="D92" t="str">
        <v>SSP 170/191</v>
      </c>
      <c r="E92" t="str">
        <v>normal</v>
      </c>
      <c r="F92" t="str">
        <v>HCM</v>
      </c>
      <c r="G92">
        <v>5</v>
      </c>
      <c r="H92">
        <v>0</v>
      </c>
      <c r="K92">
        <f>J92+H92-I92</f>
        <v>0</v>
      </c>
      <c r="L92">
        <f>G92*K92</f>
        <v>0</v>
      </c>
    </row>
    <row r="93">
      <c r="A93" t="str">
        <v>SUP-11</v>
      </c>
      <c r="B93" t="str">
        <v>suppoter</v>
      </c>
      <c r="C93" t="str">
        <v>Cyrano</v>
      </c>
      <c r="D93" t="str">
        <v>SSP 170/191</v>
      </c>
      <c r="E93" t="str">
        <v>holo</v>
      </c>
      <c r="F93" t="str">
        <v>HCM</v>
      </c>
      <c r="G93">
        <v>5</v>
      </c>
      <c r="H93">
        <v>0</v>
      </c>
      <c r="K93">
        <f>J93+H93-I93</f>
        <v>0</v>
      </c>
      <c r="L93">
        <f>G93*K93</f>
        <v>0</v>
      </c>
    </row>
    <row r="94">
      <c r="A94" t="str">
        <v>SUP-12</v>
      </c>
      <c r="B94" t="str">
        <v>suppoter</v>
      </c>
      <c r="C94" t="str">
        <v>Dawn</v>
      </c>
      <c r="D94" t="str">
        <v>FPL 87/94</v>
      </c>
      <c r="E94" t="str">
        <v>normal</v>
      </c>
      <c r="F94" t="str">
        <v>HCM</v>
      </c>
      <c r="G94">
        <v>6</v>
      </c>
      <c r="H94">
        <v>22</v>
      </c>
      <c r="K94">
        <f>J94+H94-I94</f>
        <v>22</v>
      </c>
      <c r="L94">
        <f>G94*K94</f>
        <v>132</v>
      </c>
    </row>
    <row r="95">
      <c r="A95" t="str">
        <v>SUP-12</v>
      </c>
      <c r="B95" t="str">
        <v>suppoter</v>
      </c>
      <c r="C95" t="str">
        <v>Dawn</v>
      </c>
      <c r="D95" t="str">
        <v>FPL 87/94</v>
      </c>
      <c r="E95" t="str">
        <v>holo</v>
      </c>
      <c r="F95" t="str">
        <v>HCM</v>
      </c>
      <c r="G95">
        <v>8</v>
      </c>
      <c r="H95">
        <v>3</v>
      </c>
      <c r="K95">
        <f>J95+H95-I95</f>
        <v>3</v>
      </c>
      <c r="L95">
        <f>G95*K95</f>
        <v>24</v>
      </c>
    </row>
    <row r="96">
      <c r="A96" t="str">
        <v>SUP-11A</v>
      </c>
      <c r="B96" t="str">
        <v>suppoter</v>
      </c>
      <c r="C96" t="str">
        <v>Crispin</v>
      </c>
      <c r="D96" t="str">
        <v>PRE 105/131</v>
      </c>
      <c r="E96" t="str">
        <v>normal</v>
      </c>
      <c r="F96" t="str">
        <v>HCM</v>
      </c>
      <c r="G96">
        <v>6</v>
      </c>
      <c r="H96">
        <v>8</v>
      </c>
      <c r="K96">
        <f>J96+H96-I96</f>
        <v>8</v>
      </c>
      <c r="L96">
        <f>G96*K96</f>
        <v>48</v>
      </c>
    </row>
    <row r="97">
      <c r="A97" t="str">
        <v>SUP-11A</v>
      </c>
      <c r="B97" t="str">
        <v>suppoter</v>
      </c>
      <c r="C97" t="str">
        <v>Crispin</v>
      </c>
      <c r="D97" t="str">
        <v>PRE 105/131</v>
      </c>
      <c r="E97" t="str">
        <v>holo</v>
      </c>
      <c r="F97" t="str">
        <v>HCM</v>
      </c>
      <c r="G97">
        <v>8</v>
      </c>
      <c r="H97">
        <v>1</v>
      </c>
      <c r="K97">
        <f>J97+H97-I97</f>
        <v>1</v>
      </c>
      <c r="L97">
        <f>G97*K97</f>
        <v>8</v>
      </c>
    </row>
    <row r="98">
      <c r="A98" t="str">
        <v>SUP-11A</v>
      </c>
      <c r="B98" t="str">
        <v>suppoter</v>
      </c>
      <c r="C98" t="str">
        <v>Crispin</v>
      </c>
      <c r="D98" t="str">
        <v>SCR 133/142</v>
      </c>
      <c r="E98" t="str">
        <v>normal</v>
      </c>
      <c r="F98" t="str">
        <v>HCM</v>
      </c>
      <c r="G98">
        <v>6</v>
      </c>
      <c r="H98">
        <v>8</v>
      </c>
      <c r="K98">
        <f>J98+H98-I98</f>
        <v>8</v>
      </c>
      <c r="L98">
        <f>G98*K98</f>
        <v>48</v>
      </c>
    </row>
    <row r="99">
      <c r="A99" t="str">
        <v>SUP-11A</v>
      </c>
      <c r="B99" t="str">
        <v>suppoter</v>
      </c>
      <c r="C99" t="str">
        <v>Crispin</v>
      </c>
      <c r="D99" t="str">
        <v>SCR 133/142</v>
      </c>
      <c r="E99" t="str">
        <v>holo</v>
      </c>
      <c r="F99" t="str">
        <v>HCM</v>
      </c>
      <c r="G99">
        <v>8</v>
      </c>
      <c r="H99">
        <v>4</v>
      </c>
      <c r="K99">
        <f>J99+H99-I99</f>
        <v>4</v>
      </c>
      <c r="L99">
        <f>G99*K99</f>
        <v>32</v>
      </c>
    </row>
    <row r="100">
      <c r="A100" t="str">
        <v>SUP-15</v>
      </c>
      <c r="B100" t="str">
        <v>suppoter</v>
      </c>
      <c r="C100" t="str">
        <v>Ethan's Adventure</v>
      </c>
      <c r="D100" t="str">
        <v>DRI 165/182</v>
      </c>
      <c r="E100" t="str">
        <v>holo</v>
      </c>
      <c r="F100" t="str">
        <v>HCM</v>
      </c>
      <c r="G100">
        <v>6</v>
      </c>
      <c r="H100">
        <v>1</v>
      </c>
      <c r="K100">
        <f>J100+H100-I100</f>
        <v>1</v>
      </c>
      <c r="L100">
        <f>G100*K100</f>
        <v>6</v>
      </c>
    </row>
    <row r="101">
      <c r="A101" t="str">
        <v>SUP-15</v>
      </c>
      <c r="B101" t="str">
        <v>suppoter</v>
      </c>
      <c r="C101" t="str">
        <v>Ethan's Adventure</v>
      </c>
      <c r="D101" t="str">
        <v>DRI 165/182</v>
      </c>
      <c r="E101" t="str">
        <v>normal</v>
      </c>
      <c r="F101" t="str">
        <v>HCM</v>
      </c>
      <c r="G101">
        <v>5</v>
      </c>
      <c r="H101">
        <v>22</v>
      </c>
      <c r="K101">
        <f>J101+H101-I101</f>
        <v>22</v>
      </c>
      <c r="L101">
        <f>G101*K101</f>
        <v>110</v>
      </c>
    </row>
    <row r="102">
      <c r="A102" t="str">
        <v>SUP-07</v>
      </c>
      <c r="B102" t="str">
        <v>suppoter</v>
      </c>
      <c r="C102" t="str">
        <v>Ciphermaniac's Codebreaking</v>
      </c>
      <c r="D102" t="str">
        <v>PRE 104/131</v>
      </c>
      <c r="E102" t="str">
        <v>normal</v>
      </c>
      <c r="F102" t="str">
        <v>HCM</v>
      </c>
      <c r="G102">
        <v>5</v>
      </c>
      <c r="H102">
        <v>21</v>
      </c>
      <c r="K102">
        <f>J102+H102-I102</f>
        <v>21</v>
      </c>
      <c r="L102">
        <f>G102*K102</f>
        <v>105</v>
      </c>
    </row>
    <row r="103">
      <c r="A103" t="str">
        <v>SUP-07</v>
      </c>
      <c r="B103" t="str">
        <v>suppoter</v>
      </c>
      <c r="C103" t="str">
        <v>Ciphermaniac's Codebreaking</v>
      </c>
      <c r="D103" t="str">
        <v>TEF 145/162</v>
      </c>
      <c r="E103" t="str">
        <v>normal</v>
      </c>
      <c r="F103" t="str">
        <v>HCM</v>
      </c>
      <c r="G103">
        <v>6</v>
      </c>
      <c r="H103">
        <v>26</v>
      </c>
      <c r="K103">
        <f>J103+H103-I103</f>
        <v>26</v>
      </c>
      <c r="L103">
        <f>G103*K103</f>
        <v>156</v>
      </c>
    </row>
    <row r="104">
      <c r="A104" t="str">
        <v>SUP-07</v>
      </c>
      <c r="B104" t="str">
        <v>suppoter</v>
      </c>
      <c r="C104" t="str">
        <v>Ciphermaniac's Codebreaking</v>
      </c>
      <c r="D104" t="str">
        <v>TEF 145/162</v>
      </c>
      <c r="E104" t="str">
        <v>holo</v>
      </c>
      <c r="F104" t="str">
        <v>HCM</v>
      </c>
      <c r="G104">
        <v>7</v>
      </c>
      <c r="H104">
        <v>1</v>
      </c>
      <c r="K104">
        <f>J104+H104-I104</f>
        <v>1</v>
      </c>
      <c r="L104">
        <f>G104*K104</f>
        <v>7</v>
      </c>
    </row>
    <row r="105">
      <c r="A105" t="str">
        <v>PC-SUP-007</v>
      </c>
      <c r="B105" t="str">
        <v>suppoter</v>
      </c>
      <c r="C105" t="str">
        <v>Ciphermaniac's Codebreaking</v>
      </c>
      <c r="D105" t="str">
        <v>TEF 145/162</v>
      </c>
      <c r="E105" t="str">
        <v>prize card</v>
      </c>
      <c r="F105" t="str">
        <v>HCM</v>
      </c>
      <c r="G105">
        <v>6</v>
      </c>
      <c r="H105">
        <v>1</v>
      </c>
      <c r="K105">
        <f>J105+H105-I105</f>
        <v>1</v>
      </c>
      <c r="L105">
        <f>G105*K105</f>
        <v>6</v>
      </c>
    </row>
    <row r="106">
      <c r="A106" t="str">
        <v>SUP-39</v>
      </c>
      <c r="B106" t="str">
        <v>suppoter</v>
      </c>
      <c r="C106" t="str">
        <v>Surfer</v>
      </c>
      <c r="D106" t="str">
        <v>SSP 187/191</v>
      </c>
      <c r="E106" t="str">
        <v>normal</v>
      </c>
      <c r="F106" t="str">
        <v>HCM</v>
      </c>
      <c r="G106">
        <v>5</v>
      </c>
      <c r="H106">
        <v>29</v>
      </c>
      <c r="K106">
        <f>J106+H106-I106</f>
        <v>29</v>
      </c>
      <c r="L106">
        <f>G106*K106</f>
        <v>145</v>
      </c>
    </row>
    <row r="107">
      <c r="A107" t="str">
        <v>SUP-39</v>
      </c>
      <c r="B107" t="str">
        <v>suppoter</v>
      </c>
      <c r="C107" t="str">
        <v>Surfer</v>
      </c>
      <c r="D107" t="str">
        <v>SSP 187/191</v>
      </c>
      <c r="E107" t="str">
        <v>holo</v>
      </c>
      <c r="F107" t="str">
        <v>HCM</v>
      </c>
      <c r="G107">
        <v>7</v>
      </c>
      <c r="H107">
        <v>1</v>
      </c>
      <c r="K107">
        <f>J107+H107-I107</f>
        <v>1</v>
      </c>
      <c r="L107">
        <f>G107*K107</f>
        <v>7</v>
      </c>
    </row>
    <row r="108">
      <c r="A108" t="str">
        <v>SUP-39</v>
      </c>
      <c r="B108" t="str">
        <v>suppoter</v>
      </c>
      <c r="C108" t="str">
        <v>Surfer</v>
      </c>
      <c r="D108" t="str">
        <v>ASC 200/217</v>
      </c>
      <c r="E108" t="str">
        <v>normal</v>
      </c>
      <c r="F108" t="str">
        <v>HCM</v>
      </c>
      <c r="G108">
        <v>5</v>
      </c>
      <c r="H108">
        <v>8</v>
      </c>
      <c r="K108">
        <f>J108+H108-I108</f>
        <v>8</v>
      </c>
      <c r="L108">
        <f>G108*K108</f>
        <v>40</v>
      </c>
    </row>
    <row r="109">
      <c r="A109" t="str">
        <v>SUP-25</v>
      </c>
      <c r="B109" t="str">
        <v>suppoter</v>
      </c>
      <c r="C109" t="str">
        <v>Harlequin</v>
      </c>
      <c r="D109" t="str">
        <v>WHT 83/86</v>
      </c>
      <c r="E109" t="str">
        <v>normal</v>
      </c>
      <c r="F109" t="str">
        <v>HCM</v>
      </c>
      <c r="G109">
        <v>4</v>
      </c>
      <c r="H109">
        <v>30</v>
      </c>
      <c r="K109">
        <f>J109+H109-I109</f>
        <v>30</v>
      </c>
      <c r="L109">
        <f>G109*K109</f>
        <v>120</v>
      </c>
    </row>
    <row r="110">
      <c r="A110" t="str">
        <v>SUP-25</v>
      </c>
      <c r="B110" t="str">
        <v>suppoter</v>
      </c>
      <c r="C110" t="str">
        <v>Harlequin</v>
      </c>
      <c r="D110" t="str">
        <v>WHT 83/86</v>
      </c>
      <c r="E110" t="str">
        <v>holo</v>
      </c>
      <c r="F110" t="str">
        <v>HCM</v>
      </c>
      <c r="G110">
        <v>5</v>
      </c>
      <c r="H110">
        <v>2</v>
      </c>
      <c r="K110">
        <f>J110+H110-I110</f>
        <v>2</v>
      </c>
      <c r="L110">
        <f>G110*K110</f>
        <v>10</v>
      </c>
    </row>
    <row r="111">
      <c r="A111" t="str">
        <v>SUP-03A</v>
      </c>
      <c r="B111" t="str">
        <v>suppoter</v>
      </c>
      <c r="C111" t="str">
        <v>Black Belt Training</v>
      </c>
      <c r="D111" t="str">
        <v>PRE 99/131</v>
      </c>
      <c r="E111" t="str">
        <v>holo</v>
      </c>
      <c r="F111" t="str">
        <v>HCM</v>
      </c>
      <c r="G111">
        <v>6</v>
      </c>
      <c r="H111">
        <v>1</v>
      </c>
      <c r="K111">
        <f>J111+H111-I111</f>
        <v>1</v>
      </c>
      <c r="L111">
        <f>G111*K111</f>
        <v>6</v>
      </c>
    </row>
    <row r="112">
      <c r="A112" t="str">
        <v>SUP-03A</v>
      </c>
      <c r="B112" t="str">
        <v>suppoter</v>
      </c>
      <c r="C112" t="str">
        <v>Black Belt Training</v>
      </c>
      <c r="D112" t="str">
        <v>PRE 99/131</v>
      </c>
      <c r="E112" t="str">
        <v>normal</v>
      </c>
      <c r="F112" t="str">
        <v>HCM</v>
      </c>
      <c r="G112">
        <v>5</v>
      </c>
      <c r="H112">
        <v>13</v>
      </c>
      <c r="K112">
        <f>J112+H112-I112</f>
        <v>13</v>
      </c>
      <c r="L112">
        <f>G112*K112</f>
        <v>65</v>
      </c>
    </row>
    <row r="113">
      <c r="A113" t="str">
        <v>SUP-03B</v>
      </c>
      <c r="B113" t="str">
        <v>suppoter</v>
      </c>
      <c r="C113" t="str">
        <v>Black Belt Training</v>
      </c>
      <c r="D113" t="str">
        <v>JTG 143/159</v>
      </c>
      <c r="E113" t="str">
        <v>holo</v>
      </c>
      <c r="F113" t="str">
        <v>HCM</v>
      </c>
      <c r="G113">
        <v>6</v>
      </c>
      <c r="H113">
        <v>2</v>
      </c>
      <c r="K113">
        <f>J113+H113-I113</f>
        <v>2</v>
      </c>
      <c r="L113">
        <f>G113*K113</f>
        <v>12</v>
      </c>
    </row>
    <row r="114">
      <c r="A114" t="str">
        <v>SUP-03B</v>
      </c>
      <c r="B114" t="str">
        <v>suppoter</v>
      </c>
      <c r="C114" t="str">
        <v>Black Belt Training</v>
      </c>
      <c r="D114" t="str">
        <v>JTG 143/159</v>
      </c>
      <c r="E114" t="str">
        <v>normal</v>
      </c>
      <c r="F114" t="str">
        <v>HCM</v>
      </c>
      <c r="G114">
        <v>5</v>
      </c>
      <c r="H114">
        <v>11</v>
      </c>
      <c r="K114">
        <f>J114+H114-I114</f>
        <v>11</v>
      </c>
      <c r="L114">
        <f>G114*K114</f>
        <v>55</v>
      </c>
    </row>
    <row r="115">
      <c r="A115" t="str">
        <v>SUP-03E</v>
      </c>
      <c r="B115" t="str">
        <v>suppoter</v>
      </c>
      <c r="C115" t="str">
        <v>Black Belt Training</v>
      </c>
      <c r="D115" t="str">
        <v>JTG 144/159</v>
      </c>
      <c r="E115" t="str">
        <v>normal</v>
      </c>
      <c r="F115" t="str">
        <v>HCM</v>
      </c>
      <c r="G115">
        <v>5</v>
      </c>
      <c r="H115">
        <v>10</v>
      </c>
      <c r="K115">
        <f>J115+H115-I115</f>
        <v>10</v>
      </c>
      <c r="L115">
        <f>G115*K115</f>
        <v>50</v>
      </c>
    </row>
    <row r="116">
      <c r="A116" t="str">
        <v>SUP-03C</v>
      </c>
      <c r="B116" t="str">
        <v>suppoter</v>
      </c>
      <c r="C116" t="str">
        <v>Black Belt Training</v>
      </c>
      <c r="D116" t="str">
        <v>PRE 97/131</v>
      </c>
      <c r="E116" t="str">
        <v>holo</v>
      </c>
      <c r="F116" t="str">
        <v>HCM</v>
      </c>
      <c r="G116">
        <v>6</v>
      </c>
      <c r="H116">
        <v>1</v>
      </c>
      <c r="K116">
        <f>J116+H116-I116</f>
        <v>1</v>
      </c>
      <c r="L116">
        <f>G116*K116</f>
        <v>6</v>
      </c>
    </row>
    <row r="117">
      <c r="A117" t="str">
        <v>SUP-03C</v>
      </c>
      <c r="B117" t="str">
        <v>suppoter</v>
      </c>
      <c r="C117" t="str">
        <v>Black Belt Training</v>
      </c>
      <c r="D117" t="str">
        <v>PRE 97/131</v>
      </c>
      <c r="E117" t="str">
        <v>normal</v>
      </c>
      <c r="F117" t="str">
        <v>HCM</v>
      </c>
      <c r="G117">
        <v>5</v>
      </c>
      <c r="H117">
        <v>14</v>
      </c>
      <c r="K117">
        <f>J117+H117-I117</f>
        <v>14</v>
      </c>
      <c r="L117">
        <f>G117*K117</f>
        <v>70</v>
      </c>
    </row>
    <row r="118">
      <c r="A118" t="str">
        <v>SUP-03D</v>
      </c>
      <c r="B118" t="str">
        <v>suppoter</v>
      </c>
      <c r="C118" t="str">
        <v>Black Belt Training</v>
      </c>
      <c r="D118" t="str">
        <v>PRE 98/131</v>
      </c>
      <c r="E118" t="str">
        <v>normal</v>
      </c>
      <c r="F118" t="str">
        <v>HCM</v>
      </c>
      <c r="G118">
        <v>5</v>
      </c>
      <c r="H118">
        <v>8</v>
      </c>
      <c r="K118">
        <f>J118+H118-I118</f>
        <v>8</v>
      </c>
      <c r="L118">
        <f>G118*K118</f>
        <v>40</v>
      </c>
    </row>
    <row r="119">
      <c r="A119" t="str">
        <v>SUP-03D</v>
      </c>
      <c r="B119" t="str">
        <v>suppoter</v>
      </c>
      <c r="C119" t="str">
        <v>Black Belt Training</v>
      </c>
      <c r="D119" t="str">
        <v>PRE 98/131</v>
      </c>
      <c r="E119" t="str">
        <v>holo</v>
      </c>
      <c r="F119" t="str">
        <v>HCM</v>
      </c>
      <c r="G119">
        <v>6</v>
      </c>
      <c r="H119">
        <v>3</v>
      </c>
      <c r="K119">
        <f>J119+H119-I119</f>
        <v>3</v>
      </c>
      <c r="L119">
        <f>G119*K119</f>
        <v>18</v>
      </c>
    </row>
    <row r="120">
      <c r="A120" t="str">
        <v>SUP-03F</v>
      </c>
      <c r="B120" t="str">
        <v>suppoter</v>
      </c>
      <c r="C120" t="str">
        <v>Black Belt Training</v>
      </c>
      <c r="D120" t="str">
        <v>PRE 96/131</v>
      </c>
      <c r="E120" t="str">
        <v>normal</v>
      </c>
      <c r="F120" t="str">
        <v>HCM</v>
      </c>
      <c r="G120">
        <v>5</v>
      </c>
      <c r="H120">
        <v>10</v>
      </c>
      <c r="K120">
        <f>J120+H120-I120</f>
        <v>10</v>
      </c>
      <c r="L120">
        <f>G120*K120</f>
        <v>50</v>
      </c>
    </row>
    <row r="121">
      <c r="A121" t="str">
        <v>SUP-03F</v>
      </c>
      <c r="B121" t="str">
        <v>suppoter</v>
      </c>
      <c r="C121" t="str">
        <v>Black Belt Training</v>
      </c>
      <c r="D121" t="str">
        <v>PRE 96/131</v>
      </c>
      <c r="E121" t="str">
        <v>holo</v>
      </c>
      <c r="F121" t="str">
        <v>HCM</v>
      </c>
      <c r="G121">
        <v>6</v>
      </c>
      <c r="H121">
        <v>2</v>
      </c>
      <c r="K121">
        <f>J121+H121-I121</f>
        <v>2</v>
      </c>
      <c r="L121">
        <f>G121*K121</f>
        <v>12</v>
      </c>
    </row>
    <row r="122">
      <c r="A122" t="str">
        <v>SUP-03G</v>
      </c>
      <c r="B122" t="str">
        <v>suppoter</v>
      </c>
      <c r="C122" t="str">
        <v>Black Belt Training</v>
      </c>
      <c r="D122" t="str">
        <v>JTG 143/159</v>
      </c>
      <c r="E122" t="str">
        <v>normal</v>
      </c>
      <c r="F122" t="str">
        <v>HCM</v>
      </c>
      <c r="G122">
        <v>5</v>
      </c>
      <c r="H122">
        <v>11</v>
      </c>
      <c r="K122">
        <f>J122+H122-I122</f>
        <v>11</v>
      </c>
      <c r="L122">
        <f>G122*K122</f>
        <v>55</v>
      </c>
    </row>
    <row r="123">
      <c r="A123" t="str">
        <v>SUP-20</v>
      </c>
      <c r="B123" t="str">
        <v>suppoter</v>
      </c>
      <c r="C123" t="str">
        <v>JAnine's Secret Art</v>
      </c>
      <c r="D123" t="str">
        <v>PRE 112/131</v>
      </c>
      <c r="E123" t="str">
        <v>normal</v>
      </c>
      <c r="F123" t="str">
        <v>HCM</v>
      </c>
      <c r="G123">
        <v>5</v>
      </c>
      <c r="H123">
        <v>15</v>
      </c>
      <c r="K123">
        <f>J123+H123-I123</f>
        <v>15</v>
      </c>
      <c r="L123">
        <f>G123*K123</f>
        <v>75</v>
      </c>
    </row>
    <row r="124">
      <c r="A124" t="str">
        <v>SUP-20</v>
      </c>
      <c r="B124" t="str">
        <v>suppoter</v>
      </c>
      <c r="C124" t="str">
        <v>JAnine's Secret Art</v>
      </c>
      <c r="D124" t="str">
        <v>PRE 112/131</v>
      </c>
      <c r="E124" t="str">
        <v>holo</v>
      </c>
      <c r="F124" t="str">
        <v>HCM</v>
      </c>
      <c r="G124">
        <v>7</v>
      </c>
      <c r="H124">
        <v>1</v>
      </c>
      <c r="K124">
        <f>J124+H124-I124</f>
        <v>1</v>
      </c>
      <c r="L124">
        <f>G124*K124</f>
        <v>7</v>
      </c>
    </row>
    <row r="125">
      <c r="A125" t="str">
        <v>SUP-20</v>
      </c>
      <c r="B125" t="str">
        <v>suppoter</v>
      </c>
      <c r="C125" t="str">
        <v>Janine's Secret Art</v>
      </c>
      <c r="D125" t="str">
        <v>SFA 59/64</v>
      </c>
      <c r="E125" t="str">
        <v>holo</v>
      </c>
      <c r="F125" t="str">
        <v>HCM</v>
      </c>
      <c r="G125">
        <v>8</v>
      </c>
      <c r="H125">
        <v>2</v>
      </c>
      <c r="K125">
        <f>J125+H125-I125</f>
        <v>2</v>
      </c>
      <c r="L125">
        <f>G125*K125</f>
        <v>16</v>
      </c>
    </row>
    <row r="126">
      <c r="A126" t="str">
        <v>SUP-20</v>
      </c>
      <c r="B126" t="str">
        <v>suppoter</v>
      </c>
      <c r="C126" t="str">
        <v>Janine's Secret Art</v>
      </c>
      <c r="D126" t="str">
        <v>SFA 59/64</v>
      </c>
      <c r="E126" t="str">
        <v>normal</v>
      </c>
      <c r="F126" t="str">
        <v>HCM</v>
      </c>
      <c r="G126">
        <v>5</v>
      </c>
      <c r="H126">
        <v>8</v>
      </c>
      <c r="K126">
        <f>J126+H126-I126</f>
        <v>8</v>
      </c>
      <c r="L126">
        <f>G126*K126</f>
        <v>40</v>
      </c>
    </row>
    <row r="127">
      <c r="A127" t="str">
        <v>PC-SUP-011</v>
      </c>
      <c r="B127" t="str">
        <v>suppoter</v>
      </c>
      <c r="C127" t="str">
        <v>Janine's Secret Art</v>
      </c>
      <c r="D127" t="str">
        <v>SFA 59/64</v>
      </c>
      <c r="E127" t="str">
        <v>prize card</v>
      </c>
      <c r="F127" t="str">
        <v>HCM</v>
      </c>
      <c r="G127">
        <v>5</v>
      </c>
      <c r="H127">
        <v>1</v>
      </c>
      <c r="K127">
        <f>J127+H127-I127</f>
        <v>1</v>
      </c>
      <c r="L127">
        <f>G127*K127</f>
        <v>5</v>
      </c>
    </row>
    <row r="128">
      <c r="A128" t="str">
        <v>SUP-32</v>
      </c>
      <c r="B128" t="str">
        <v>suppoter</v>
      </c>
      <c r="C128" t="str">
        <v>Kieran</v>
      </c>
      <c r="D128" t="str">
        <v>PRE 113/131</v>
      </c>
      <c r="E128" t="str">
        <v>normal</v>
      </c>
      <c r="F128" t="str">
        <v>HCM</v>
      </c>
      <c r="G128">
        <v>5</v>
      </c>
      <c r="H128">
        <v>13</v>
      </c>
      <c r="K128">
        <f>J128+H128-I128</f>
        <v>13</v>
      </c>
      <c r="L128">
        <f>G128*K128</f>
        <v>65</v>
      </c>
    </row>
    <row r="129">
      <c r="A129" t="str">
        <v>SUP-32</v>
      </c>
      <c r="B129" t="str">
        <v>suppoter</v>
      </c>
      <c r="C129" t="str">
        <v>Kieran</v>
      </c>
      <c r="D129" t="str">
        <v>PRE 113/131</v>
      </c>
      <c r="E129" t="str">
        <v>holo</v>
      </c>
      <c r="F129" t="str">
        <v>HCM</v>
      </c>
      <c r="G129">
        <v>6</v>
      </c>
      <c r="H129">
        <v>1</v>
      </c>
      <c r="K129">
        <f>J129+H129-I129</f>
        <v>1</v>
      </c>
      <c r="L129">
        <f>G129*K129</f>
        <v>6</v>
      </c>
    </row>
    <row r="130">
      <c r="A130" t="str">
        <v>SUP-32</v>
      </c>
      <c r="B130" t="str">
        <v>suppoter</v>
      </c>
      <c r="C130" t="str">
        <v>Kieran</v>
      </c>
      <c r="D130" t="str">
        <v>TWM 154/167</v>
      </c>
      <c r="E130" t="str">
        <v>normal</v>
      </c>
      <c r="F130" t="str">
        <v>HCM</v>
      </c>
      <c r="G130">
        <v>4</v>
      </c>
      <c r="H130">
        <v>10</v>
      </c>
      <c r="K130">
        <f>J130+H130-I130</f>
        <v>10</v>
      </c>
      <c r="L130">
        <f>G130*K130</f>
        <v>40</v>
      </c>
    </row>
    <row r="131">
      <c r="A131" t="str">
        <v>SUP-32</v>
      </c>
      <c r="B131" t="str">
        <v>suppoter</v>
      </c>
      <c r="C131" t="str">
        <v>Kieran</v>
      </c>
      <c r="D131" t="str">
        <v>TWM 154/167</v>
      </c>
      <c r="E131" t="str">
        <v>holo</v>
      </c>
      <c r="F131" t="str">
        <v>HCM</v>
      </c>
      <c r="G131">
        <v>5</v>
      </c>
      <c r="H131">
        <v>1</v>
      </c>
      <c r="K131">
        <f>J131+H131-I131</f>
        <v>1</v>
      </c>
      <c r="L131">
        <f>G131*K131</f>
        <v>5</v>
      </c>
    </row>
    <row r="132">
      <c r="A132" t="str">
        <v>SUP-24</v>
      </c>
      <c r="B132" t="str">
        <v>suppoter</v>
      </c>
      <c r="C132" t="str">
        <v xml:space="preserve">HASSEL  </v>
      </c>
      <c r="D132" t="str">
        <v>TWM 15 1/167</v>
      </c>
      <c r="E132" t="str">
        <v>normal</v>
      </c>
      <c r="F132" t="str">
        <v>HCM</v>
      </c>
      <c r="G132">
        <v>4</v>
      </c>
      <c r="H132">
        <v>6</v>
      </c>
      <c r="K132">
        <f>J132+H132-I132</f>
        <v>6</v>
      </c>
      <c r="L132">
        <f>G132*K132</f>
        <v>24</v>
      </c>
    </row>
    <row r="133">
      <c r="B133" t="str">
        <v>suppoter</v>
      </c>
      <c r="C133" t="str">
        <v>Wally's Compassion</v>
      </c>
      <c r="D133" t="str">
        <v>MEG 132/132</v>
      </c>
      <c r="E133" t="str">
        <v>normal</v>
      </c>
      <c r="F133" t="str">
        <v>HCM</v>
      </c>
      <c r="G133">
        <v>5</v>
      </c>
      <c r="H133">
        <v>0</v>
      </c>
      <c r="K133">
        <f>J133+H133-I133</f>
        <v>0</v>
      </c>
      <c r="L133">
        <f>G133*K133</f>
        <v>0</v>
      </c>
    </row>
    <row r="134">
      <c r="B134" t="str">
        <v>suppoter</v>
      </c>
      <c r="C134" t="str">
        <v>Wally's Compassion</v>
      </c>
      <c r="D134" t="str">
        <v>MEG 132/132</v>
      </c>
      <c r="E134" t="str">
        <v>holo</v>
      </c>
      <c r="F134" t="str">
        <v>HCM</v>
      </c>
      <c r="G134">
        <v>7</v>
      </c>
      <c r="H134">
        <v>0</v>
      </c>
      <c r="K134">
        <f>J134+H134-I134</f>
        <v>0</v>
      </c>
      <c r="L134">
        <f>G134*K134</f>
        <v>0</v>
      </c>
    </row>
    <row r="135">
      <c r="A135" t="str">
        <v>PC-SUP-008</v>
      </c>
      <c r="B135" t="str">
        <v>suppoter</v>
      </c>
      <c r="C135" t="str">
        <v>Wally's Compassion</v>
      </c>
      <c r="D135" t="str">
        <v>MEG 132/132</v>
      </c>
      <c r="E135" t="str">
        <v>holo prize card</v>
      </c>
      <c r="F135" t="str">
        <v>HCM</v>
      </c>
      <c r="G135">
        <v>8</v>
      </c>
      <c r="H135">
        <v>1</v>
      </c>
      <c r="K135">
        <f>J135+H135-I135</f>
        <v>1</v>
      </c>
      <c r="L135">
        <f>G135*K135</f>
        <v>8</v>
      </c>
    </row>
    <row r="136">
      <c r="A136" t="str">
        <v>SUP-02</v>
      </c>
      <c r="B136" t="str">
        <v>suppoter</v>
      </c>
      <c r="C136" t="str">
        <v>Acerola Mischief</v>
      </c>
      <c r="D136" t="str">
        <v>ASC 180/217</v>
      </c>
      <c r="E136" t="str">
        <v>normal</v>
      </c>
      <c r="F136" t="str">
        <v>HCM</v>
      </c>
      <c r="G136">
        <v>4</v>
      </c>
      <c r="H136">
        <v>15</v>
      </c>
      <c r="K136">
        <f>J136+H136-I136</f>
        <v>15</v>
      </c>
      <c r="L136">
        <f>G136*K136</f>
        <v>60</v>
      </c>
    </row>
    <row r="137">
      <c r="A137" t="str">
        <v>SUP-02</v>
      </c>
      <c r="B137" t="str">
        <v>suppoter</v>
      </c>
      <c r="C137" t="str">
        <v>Acerola Mischief</v>
      </c>
      <c r="D137" t="str">
        <v>MEG 113/132</v>
      </c>
      <c r="E137" t="str">
        <v>normal</v>
      </c>
      <c r="F137" t="str">
        <v>HCM</v>
      </c>
      <c r="G137">
        <v>4</v>
      </c>
      <c r="H137">
        <v>10</v>
      </c>
      <c r="K137">
        <f>J137+H137-I137</f>
        <v>10</v>
      </c>
      <c r="L137">
        <f>G137*K137</f>
        <v>40</v>
      </c>
    </row>
    <row r="138">
      <c r="A138" t="str">
        <v>SUP-02</v>
      </c>
      <c r="B138" t="str">
        <v>suppoter</v>
      </c>
      <c r="C138" t="str">
        <v>Acerola Mischief</v>
      </c>
      <c r="D138" t="str">
        <v>MEG 113/132</v>
      </c>
      <c r="E138" t="str">
        <v>holo</v>
      </c>
      <c r="F138" t="str">
        <v>HCM</v>
      </c>
      <c r="G138">
        <v>6</v>
      </c>
      <c r="H138">
        <v>3</v>
      </c>
      <c r="K138">
        <f>J138+H138-I138</f>
        <v>3</v>
      </c>
      <c r="L138">
        <f>G138*K138</f>
        <v>18</v>
      </c>
    </row>
    <row r="139">
      <c r="A139" t="str">
        <v>IT-38</v>
      </c>
      <c r="B139" t="str">
        <v>item</v>
      </c>
      <c r="C139" t="str">
        <v>Pokegear 3.0</v>
      </c>
      <c r="D139" t="str">
        <v>SVI 186/198</v>
      </c>
      <c r="E139" t="str">
        <v>normal</v>
      </c>
      <c r="F139" t="str">
        <v>HCM</v>
      </c>
      <c r="G139">
        <v>8</v>
      </c>
      <c r="H139">
        <v>1</v>
      </c>
      <c r="K139">
        <f>J139+H139-I139</f>
        <v>1</v>
      </c>
      <c r="L139">
        <f>G139*K139</f>
        <v>8</v>
      </c>
    </row>
    <row r="140">
      <c r="A140" t="str">
        <v>IT-20</v>
      </c>
      <c r="B140" t="str">
        <v>item</v>
      </c>
      <c r="C140" t="str">
        <v>Jumbo Ice Cream</v>
      </c>
      <c r="D140" t="str">
        <v>MEG 91/94</v>
      </c>
      <c r="E140" t="str">
        <v>normal</v>
      </c>
      <c r="F140" t="str">
        <v>HCM</v>
      </c>
      <c r="G140">
        <v>5</v>
      </c>
      <c r="H140">
        <v>38</v>
      </c>
      <c r="K140">
        <f>J140+H140-I140</f>
        <v>38</v>
      </c>
      <c r="L140">
        <f>G140*K140</f>
        <v>190</v>
      </c>
    </row>
    <row r="141">
      <c r="A141" t="str">
        <v>IT-20</v>
      </c>
      <c r="B141" t="str">
        <v>item</v>
      </c>
      <c r="C141" t="str">
        <v>Jumbo Ice Cream</v>
      </c>
      <c r="D141" t="str">
        <v>MEG 91/94</v>
      </c>
      <c r="E141" t="str">
        <v>holo</v>
      </c>
      <c r="F141" t="str">
        <v>HCM</v>
      </c>
      <c r="G141">
        <v>7</v>
      </c>
      <c r="H141">
        <v>8</v>
      </c>
      <c r="K141">
        <f>J141+H141-I141</f>
        <v>8</v>
      </c>
      <c r="L141">
        <f>G141*K141</f>
        <v>56</v>
      </c>
    </row>
    <row r="142">
      <c r="A142" t="str">
        <v>IT-24</v>
      </c>
      <c r="B142" t="str">
        <v>item</v>
      </c>
      <c r="C142" t="str">
        <v>Hop's Bag</v>
      </c>
      <c r="D142" t="str">
        <v>JTG 147/159</v>
      </c>
      <c r="E142" t="str">
        <v>normal</v>
      </c>
      <c r="F142" t="str">
        <v>HCM</v>
      </c>
      <c r="G142">
        <v>3</v>
      </c>
      <c r="H142">
        <v>15</v>
      </c>
      <c r="K142">
        <f>J142+H142-I142</f>
        <v>15</v>
      </c>
      <c r="L142">
        <f>G142*K142</f>
        <v>45</v>
      </c>
    </row>
    <row r="143">
      <c r="A143" t="str">
        <v>IT-24</v>
      </c>
      <c r="B143" t="str">
        <v>item</v>
      </c>
      <c r="C143" t="str">
        <v>Hop's Bag</v>
      </c>
      <c r="D143" t="str">
        <v>JTG 147/159</v>
      </c>
      <c r="E143" t="str">
        <v>holo</v>
      </c>
      <c r="F143" t="str">
        <v>HCM</v>
      </c>
      <c r="G143">
        <v>4</v>
      </c>
      <c r="H143">
        <v>1</v>
      </c>
      <c r="K143">
        <f>J143+H143-I143</f>
        <v>1</v>
      </c>
      <c r="L143">
        <f>G143*K143</f>
        <v>4</v>
      </c>
    </row>
    <row r="144">
      <c r="A144" t="str">
        <v>PC-IT-05</v>
      </c>
      <c r="B144" t="str">
        <v>item</v>
      </c>
      <c r="C144" t="str">
        <v>Hop's Bag</v>
      </c>
      <c r="D144" t="str">
        <v>JTG 147/159</v>
      </c>
      <c r="E144" t="str">
        <v>prize card</v>
      </c>
      <c r="F144" t="str">
        <v>HCM</v>
      </c>
      <c r="G144">
        <v>8</v>
      </c>
      <c r="H144">
        <v>1</v>
      </c>
      <c r="K144">
        <f>J144+H144-I144</f>
        <v>1</v>
      </c>
      <c r="L144">
        <f>G144*K144</f>
        <v>8</v>
      </c>
    </row>
    <row r="145">
      <c r="A145" t="str">
        <v>IT-46</v>
      </c>
      <c r="B145" t="str">
        <v>item</v>
      </c>
      <c r="C145" t="str">
        <v>Tool Scaper</v>
      </c>
      <c r="D145" t="str">
        <v>D 168/192</v>
      </c>
      <c r="E145" t="str">
        <v>normal</v>
      </c>
      <c r="F145" t="str">
        <v>HCM</v>
      </c>
      <c r="G145">
        <v>8</v>
      </c>
      <c r="H145">
        <v>1</v>
      </c>
      <c r="K145">
        <f>J145+H145-I145</f>
        <v>1</v>
      </c>
      <c r="L145">
        <f>G145*K145</f>
        <v>8</v>
      </c>
    </row>
    <row r="146">
      <c r="A146" t="str">
        <v>IT-29</v>
      </c>
      <c r="B146" t="str">
        <v>item</v>
      </c>
      <c r="C146" t="str">
        <v>Mega Signal</v>
      </c>
      <c r="D146" t="str">
        <v>MEG 121/132</v>
      </c>
      <c r="E146" t="str">
        <v>normal</v>
      </c>
      <c r="F146" t="str">
        <v>HCM</v>
      </c>
      <c r="G146">
        <v>4</v>
      </c>
      <c r="H146">
        <v>16</v>
      </c>
      <c r="K146">
        <f>J146+H146-I146</f>
        <v>16</v>
      </c>
      <c r="L146">
        <f>G146*K146</f>
        <v>64</v>
      </c>
    </row>
    <row r="147">
      <c r="A147" t="str">
        <v>IT-29</v>
      </c>
      <c r="B147" t="str">
        <v>item</v>
      </c>
      <c r="C147" t="str">
        <v>Mega Signal</v>
      </c>
      <c r="D147" t="str">
        <v>MEG 121/132</v>
      </c>
      <c r="E147" t="str">
        <v>holo</v>
      </c>
      <c r="F147" t="str">
        <v>HCM</v>
      </c>
      <c r="G147">
        <v>5</v>
      </c>
      <c r="H147">
        <v>3</v>
      </c>
      <c r="K147">
        <f>J147+H147-I147</f>
        <v>3</v>
      </c>
      <c r="L147">
        <f>G147*K147</f>
        <v>15</v>
      </c>
    </row>
    <row r="148">
      <c r="A148" t="str">
        <v>IT-56</v>
      </c>
      <c r="B148" t="str">
        <v>item</v>
      </c>
      <c r="C148" t="str">
        <v>Switch</v>
      </c>
      <c r="D148" t="str">
        <v>MEG 130/132</v>
      </c>
      <c r="E148" t="str">
        <v>normal</v>
      </c>
      <c r="F148" t="str">
        <v>HCM</v>
      </c>
      <c r="G148">
        <v>5</v>
      </c>
      <c r="H148">
        <v>6</v>
      </c>
      <c r="K148">
        <f>J148+H148-I148</f>
        <v>6</v>
      </c>
      <c r="L148">
        <f>G148*K148</f>
        <v>30</v>
      </c>
    </row>
    <row r="149">
      <c r="A149" t="str">
        <v>IT-56</v>
      </c>
      <c r="B149" t="str">
        <v>item</v>
      </c>
      <c r="C149" t="str">
        <v>Switch</v>
      </c>
      <c r="D149" t="str">
        <v>MEG 130/132</v>
      </c>
      <c r="E149" t="str">
        <v>holo</v>
      </c>
      <c r="F149" t="str">
        <v>HCM</v>
      </c>
      <c r="G149">
        <v>6</v>
      </c>
      <c r="H149">
        <v>1</v>
      </c>
      <c r="K149">
        <f>J149+H149-I149</f>
        <v>1</v>
      </c>
      <c r="L149">
        <f>G149*K149</f>
        <v>6</v>
      </c>
    </row>
    <row r="150">
      <c r="A150" t="str">
        <v>IT-56</v>
      </c>
      <c r="B150" t="str">
        <v>item</v>
      </c>
      <c r="C150" t="str">
        <v>Switch</v>
      </c>
      <c r="D150" t="str">
        <v>SVI 194/198</v>
      </c>
      <c r="E150" t="str">
        <v>normal</v>
      </c>
      <c r="F150" t="str">
        <v>HCM</v>
      </c>
      <c r="G150">
        <v>4</v>
      </c>
      <c r="H150">
        <v>20</v>
      </c>
      <c r="K150">
        <f>J150+H150-I150</f>
        <v>20</v>
      </c>
      <c r="L150">
        <f>G150*K150</f>
        <v>80</v>
      </c>
    </row>
    <row r="151">
      <c r="A151" t="str">
        <v>IT-56</v>
      </c>
      <c r="B151" t="str">
        <v>item</v>
      </c>
      <c r="C151" t="str">
        <v>Switch</v>
      </c>
      <c r="D151" t="str">
        <v>D 183/202</v>
      </c>
      <c r="E151" t="str">
        <v>normal</v>
      </c>
      <c r="F151" t="str">
        <v>HCM</v>
      </c>
      <c r="G151">
        <v>4</v>
      </c>
      <c r="H151">
        <v>7</v>
      </c>
      <c r="K151">
        <f>J151+H151-I151</f>
        <v>7</v>
      </c>
      <c r="L151">
        <f>G151*K151</f>
        <v>28</v>
      </c>
    </row>
    <row r="152">
      <c r="A152" t="str">
        <v>IT-56</v>
      </c>
      <c r="B152" t="str">
        <v>item</v>
      </c>
      <c r="C152" t="str">
        <v>Switch</v>
      </c>
      <c r="D152" t="str">
        <v>f 144/159</v>
      </c>
      <c r="E152" t="str">
        <v>holo</v>
      </c>
      <c r="F152" t="str">
        <v>HCM</v>
      </c>
      <c r="G152">
        <v>4</v>
      </c>
      <c r="H152">
        <v>3</v>
      </c>
      <c r="K152">
        <f>J152+H152-I152</f>
        <v>3</v>
      </c>
      <c r="L152">
        <f>G152*K152</f>
        <v>12</v>
      </c>
    </row>
    <row r="153">
      <c r="A153" t="str">
        <v>IT-56</v>
      </c>
      <c r="B153" t="str">
        <v>item</v>
      </c>
      <c r="C153" t="str">
        <v>Switch</v>
      </c>
      <c r="D153" t="str">
        <v>f 144/159</v>
      </c>
      <c r="E153" t="str">
        <v>normal</v>
      </c>
      <c r="F153" t="str">
        <v>HCM</v>
      </c>
      <c r="G153">
        <v>3</v>
      </c>
      <c r="H153">
        <v>25</v>
      </c>
      <c r="K153">
        <f>J153+H153-I153</f>
        <v>25</v>
      </c>
      <c r="L153">
        <f>G153*K153</f>
        <v>75</v>
      </c>
    </row>
    <row r="154">
      <c r="A154" t="str">
        <v>IT-17</v>
      </c>
      <c r="B154" t="str">
        <v>item</v>
      </c>
      <c r="C154" t="str">
        <v>Energy Switch</v>
      </c>
      <c r="D154" t="str">
        <v>SVI 173/198</v>
      </c>
      <c r="E154" t="str">
        <v>normal</v>
      </c>
      <c r="F154" t="str">
        <v>HCM</v>
      </c>
      <c r="G154">
        <v>7</v>
      </c>
      <c r="H154">
        <v>5</v>
      </c>
      <c r="K154">
        <f>J154+H154-I154</f>
        <v>5</v>
      </c>
      <c r="L154">
        <f>G154*K154</f>
        <v>35</v>
      </c>
    </row>
    <row r="155">
      <c r="A155" t="str">
        <v>IT-17</v>
      </c>
      <c r="B155" t="str">
        <v>item</v>
      </c>
      <c r="C155" t="str">
        <v>Energy Switch</v>
      </c>
      <c r="D155" t="str">
        <v>MEG 115/132</v>
      </c>
      <c r="E155" t="str">
        <v>normal</v>
      </c>
      <c r="F155" t="str">
        <v>HCM</v>
      </c>
      <c r="G155">
        <v>6</v>
      </c>
      <c r="H155">
        <v>4</v>
      </c>
      <c r="K155">
        <f>J155+H155-I155</f>
        <v>4</v>
      </c>
      <c r="L155">
        <f>G155*K155</f>
        <v>24</v>
      </c>
    </row>
    <row r="156">
      <c r="A156" t="str">
        <v>IT-17</v>
      </c>
      <c r="B156" t="str">
        <v>item</v>
      </c>
      <c r="C156" t="str">
        <v>Energy Switch</v>
      </c>
      <c r="D156" t="str">
        <v>MEG 115/132</v>
      </c>
      <c r="E156" t="str">
        <v>holo</v>
      </c>
      <c r="F156" t="str">
        <v>HCM</v>
      </c>
      <c r="G156">
        <v>8</v>
      </c>
      <c r="H156">
        <v>3</v>
      </c>
      <c r="K156">
        <f>J156+H156-I156</f>
        <v>3</v>
      </c>
      <c r="L156">
        <f>G156*K156</f>
        <v>24</v>
      </c>
    </row>
    <row r="157">
      <c r="A157" t="str">
        <v>IT-17</v>
      </c>
      <c r="B157" t="str">
        <v>item</v>
      </c>
      <c r="C157" t="str">
        <v>Energy Switch</v>
      </c>
      <c r="D157" t="str">
        <v xml:space="preserve"> D 129/159</v>
      </c>
      <c r="E157" t="str">
        <v>normal</v>
      </c>
      <c r="F157" t="str">
        <v>HCM</v>
      </c>
      <c r="G157">
        <v>6</v>
      </c>
      <c r="H157">
        <v>18</v>
      </c>
      <c r="K157">
        <f>J157+H157-I157</f>
        <v>18</v>
      </c>
      <c r="L157">
        <f>G157*K157</f>
        <v>108</v>
      </c>
    </row>
    <row r="158">
      <c r="A158" t="str">
        <v>IT-17</v>
      </c>
      <c r="B158" t="str">
        <v>item</v>
      </c>
      <c r="C158" t="str">
        <v>Energy Switch</v>
      </c>
      <c r="D158" t="str">
        <v>F 129/159</v>
      </c>
      <c r="E158" t="str">
        <v>normal</v>
      </c>
      <c r="F158" t="str">
        <v>HCM</v>
      </c>
      <c r="G158">
        <v>5</v>
      </c>
      <c r="H158">
        <v>30</v>
      </c>
      <c r="K158">
        <f>J158+H158-I158</f>
        <v>30</v>
      </c>
      <c r="L158">
        <f>G158*K158</f>
        <v>150</v>
      </c>
    </row>
    <row r="159">
      <c r="A159" t="str">
        <v>IT-30</v>
      </c>
      <c r="B159" t="str">
        <v>item</v>
      </c>
      <c r="C159" t="str">
        <v>N's PP Up</v>
      </c>
      <c r="D159" t="str">
        <v>JTG 153/159</v>
      </c>
      <c r="E159" t="str">
        <v>normal</v>
      </c>
      <c r="F159" t="str">
        <v>HCM</v>
      </c>
      <c r="G159">
        <v>7</v>
      </c>
      <c r="H159">
        <v>14</v>
      </c>
      <c r="K159">
        <f>J159+H159-I159</f>
        <v>14</v>
      </c>
      <c r="L159">
        <f>G159*K159</f>
        <v>98</v>
      </c>
    </row>
    <row r="160">
      <c r="A160" t="str">
        <v>IT-30</v>
      </c>
      <c r="B160" t="str">
        <v>item</v>
      </c>
      <c r="C160" t="str">
        <v>N's PP Up</v>
      </c>
      <c r="D160" t="str">
        <v>JTG 153/159</v>
      </c>
      <c r="E160" t="str">
        <v>holo</v>
      </c>
      <c r="F160" t="str">
        <v>HCM</v>
      </c>
      <c r="G160">
        <v>9</v>
      </c>
      <c r="H160">
        <v>1</v>
      </c>
      <c r="K160">
        <f>J160+H160-I160</f>
        <v>1</v>
      </c>
      <c r="L160">
        <f>G160*K160</f>
        <v>9</v>
      </c>
    </row>
    <row r="161">
      <c r="A161" t="str">
        <v>IT-30</v>
      </c>
      <c r="B161" t="str">
        <v>item</v>
      </c>
      <c r="C161" t="str">
        <v>N's PP Up</v>
      </c>
      <c r="D161" t="str">
        <v>ASC 195/217</v>
      </c>
      <c r="E161" t="str">
        <v>normal</v>
      </c>
      <c r="F161" t="str">
        <v>HCM</v>
      </c>
      <c r="G161">
        <v>6</v>
      </c>
      <c r="H161">
        <v>1</v>
      </c>
      <c r="K161">
        <f>J161+H161-I161</f>
        <v>1</v>
      </c>
      <c r="L161">
        <f>G161*K161</f>
        <v>6</v>
      </c>
    </row>
    <row r="162">
      <c r="A162" t="str">
        <v>PC-IT-10A</v>
      </c>
      <c r="B162" t="str">
        <v>item</v>
      </c>
      <c r="C162" t="str">
        <v>BUDDY-BUDDY POFFIN</v>
      </c>
      <c r="D162" t="str">
        <v>TEF 144/162</v>
      </c>
      <c r="E162" t="str">
        <v>prize card</v>
      </c>
      <c r="F162" t="str">
        <v>HCM</v>
      </c>
      <c r="G162">
        <v>12</v>
      </c>
      <c r="H162">
        <v>4</v>
      </c>
      <c r="K162">
        <f>J162+H162-I162</f>
        <v>4</v>
      </c>
    </row>
    <row r="163">
      <c r="A163" t="str">
        <v>PC-IT-10</v>
      </c>
      <c r="B163" t="str">
        <v>item</v>
      </c>
      <c r="C163" t="str">
        <v>N's PP Up</v>
      </c>
      <c r="D163" t="str">
        <v>JTG EN 153/159</v>
      </c>
      <c r="E163" t="str">
        <v>prize card</v>
      </c>
      <c r="F163" t="str">
        <v>HCM</v>
      </c>
      <c r="G163">
        <v>7</v>
      </c>
      <c r="H163">
        <v>4</v>
      </c>
      <c r="K163">
        <f>J163+H163-I163</f>
        <v>4</v>
      </c>
      <c r="L163">
        <f>G163*K163</f>
        <v>28</v>
      </c>
    </row>
    <row r="164">
      <c r="A164" t="str">
        <v>PC-IT-09</v>
      </c>
      <c r="B164" t="str">
        <v>item</v>
      </c>
      <c r="C164" t="str">
        <v>Night strecher</v>
      </c>
      <c r="D164" t="str">
        <v>SFA 61/64</v>
      </c>
      <c r="E164" t="str">
        <v>prize card</v>
      </c>
      <c r="F164" t="str">
        <v>HCM</v>
      </c>
      <c r="G164">
        <v>20</v>
      </c>
      <c r="H164">
        <v>1</v>
      </c>
      <c r="K164">
        <f>J164+H164-I164</f>
        <v>1</v>
      </c>
      <c r="L164">
        <f>G164*K164</f>
        <v>20</v>
      </c>
    </row>
    <row r="165">
      <c r="B165" t="str">
        <v>item</v>
      </c>
      <c r="C165" t="str">
        <v>Night strecher</v>
      </c>
      <c r="D165" t="str">
        <v>SFA 61/64</v>
      </c>
      <c r="E165" t="str">
        <v>normal</v>
      </c>
      <c r="F165" t="str">
        <v>HCM</v>
      </c>
      <c r="G165">
        <v>14</v>
      </c>
      <c r="H165">
        <v>0</v>
      </c>
      <c r="K165">
        <f>J165+H165-I165</f>
        <v>0</v>
      </c>
      <c r="L165">
        <f>G165*K165</f>
        <v>0</v>
      </c>
    </row>
    <row r="166">
      <c r="A166" t="str">
        <v>IT-15</v>
      </c>
      <c r="B166" t="str">
        <v>item</v>
      </c>
      <c r="C166" t="str">
        <v>Energy Retrieval</v>
      </c>
      <c r="D166" t="str">
        <v>116/149</v>
      </c>
      <c r="E166" t="str">
        <v>normal</v>
      </c>
      <c r="F166" t="str">
        <v>HCM</v>
      </c>
      <c r="G166">
        <v>5</v>
      </c>
      <c r="H166">
        <v>5</v>
      </c>
      <c r="K166">
        <f>J166+H166-I166</f>
        <v>5</v>
      </c>
    </row>
    <row r="167">
      <c r="A167" t="str">
        <v>IT-15</v>
      </c>
      <c r="B167" t="str">
        <v>item</v>
      </c>
      <c r="C167" t="str">
        <v>Energy Retrieval</v>
      </c>
      <c r="D167" t="str">
        <v>59/73</v>
      </c>
      <c r="E167" t="str">
        <v>normal</v>
      </c>
      <c r="F167" t="str">
        <v>HCM</v>
      </c>
      <c r="G167">
        <v>5</v>
      </c>
      <c r="H167">
        <v>1</v>
      </c>
      <c r="K167">
        <f>J167+H167-I167</f>
        <v>1</v>
      </c>
    </row>
    <row r="168">
      <c r="A168" t="str">
        <v>IT-15</v>
      </c>
      <c r="B168" t="str">
        <v>item</v>
      </c>
      <c r="C168" t="str">
        <v>Energy Retrieval</v>
      </c>
      <c r="D168" t="str">
        <v>SVI 171/198</v>
      </c>
      <c r="E168" t="str">
        <v>normal</v>
      </c>
      <c r="F168" t="str">
        <v>HCM</v>
      </c>
      <c r="G168">
        <v>3</v>
      </c>
      <c r="H168">
        <v>5</v>
      </c>
      <c r="K168">
        <f>J168+H168-I168</f>
        <v>5</v>
      </c>
      <c r="L168">
        <f>G168*K168</f>
        <v>15</v>
      </c>
    </row>
    <row r="169">
      <c r="A169" t="str">
        <v>IT-15</v>
      </c>
      <c r="B169" t="str">
        <v>item</v>
      </c>
      <c r="C169" t="str">
        <v>Energy Retrieval</v>
      </c>
      <c r="D169" t="str">
        <v>SVI 171/198</v>
      </c>
      <c r="E169" t="str">
        <v>holo</v>
      </c>
      <c r="F169" t="str">
        <v>HCM</v>
      </c>
      <c r="G169">
        <v>4</v>
      </c>
      <c r="H169">
        <v>2</v>
      </c>
    </row>
    <row r="170">
      <c r="A170" t="str">
        <v>IT-15</v>
      </c>
      <c r="B170" t="str">
        <v>item</v>
      </c>
      <c r="C170" t="str">
        <v>Energy Retrieval</v>
      </c>
      <c r="D170" t="str">
        <v>WHT 82/86</v>
      </c>
      <c r="E170" t="str">
        <v>normal</v>
      </c>
      <c r="F170" t="str">
        <v>HCM</v>
      </c>
      <c r="G170">
        <v>4</v>
      </c>
      <c r="H170">
        <v>27</v>
      </c>
      <c r="K170">
        <f>J170+H170-I170</f>
        <v>27</v>
      </c>
      <c r="L170">
        <f>G170*K170</f>
        <v>108</v>
      </c>
    </row>
    <row r="171">
      <c r="A171" t="str">
        <v>IT-15</v>
      </c>
      <c r="B171" t="str">
        <v>item</v>
      </c>
      <c r="C171" t="str">
        <v>Energy Retrieval</v>
      </c>
      <c r="D171" t="str">
        <v>WHT 82/86</v>
      </c>
      <c r="E171" t="str">
        <v>holo</v>
      </c>
      <c r="F171" t="str">
        <v>HCM</v>
      </c>
      <c r="G171">
        <v>6</v>
      </c>
      <c r="H171">
        <v>1</v>
      </c>
      <c r="K171">
        <f>J171+H171-I171</f>
        <v>1</v>
      </c>
      <c r="L171">
        <f>G171*K171</f>
        <v>6</v>
      </c>
    </row>
    <row r="172">
      <c r="A172" t="str">
        <v>IT-15</v>
      </c>
      <c r="B172" t="str">
        <v>item</v>
      </c>
      <c r="C172" t="str">
        <v>Energy Retrieval</v>
      </c>
      <c r="D172" t="str">
        <v>F 127/159</v>
      </c>
      <c r="E172" t="str">
        <v>normal</v>
      </c>
      <c r="F172" t="str">
        <v>HCM</v>
      </c>
      <c r="G172">
        <v>5</v>
      </c>
      <c r="H172">
        <v>38</v>
      </c>
      <c r="K172">
        <f>J172+H172-I172</f>
        <v>38</v>
      </c>
      <c r="L172">
        <f>G172*K172</f>
        <v>190</v>
      </c>
    </row>
    <row r="173">
      <c r="A173" t="str">
        <v>IT-57</v>
      </c>
      <c r="B173" t="str">
        <v>item</v>
      </c>
      <c r="C173" t="str">
        <v>Ultra Ball</v>
      </c>
      <c r="D173" t="str">
        <v>SVI 196/198</v>
      </c>
      <c r="E173" t="str">
        <v>normal</v>
      </c>
      <c r="F173" t="str">
        <v>HCM</v>
      </c>
      <c r="G173">
        <v>5</v>
      </c>
      <c r="H173">
        <v>2</v>
      </c>
      <c r="K173">
        <f>J173+H173-I173</f>
        <v>2</v>
      </c>
      <c r="L173">
        <f>G173*K173</f>
        <v>10</v>
      </c>
    </row>
    <row r="174">
      <c r="A174" t="str">
        <v>IT-57</v>
      </c>
      <c r="B174" t="str">
        <v>item</v>
      </c>
      <c r="C174" t="str">
        <v>Ultra Ball</v>
      </c>
      <c r="D174" t="str">
        <v>PAF 91/91</v>
      </c>
      <c r="E174" t="str">
        <v>normal</v>
      </c>
      <c r="F174" t="str">
        <v>HCM</v>
      </c>
      <c r="G174">
        <v>6</v>
      </c>
      <c r="H174">
        <v>2</v>
      </c>
      <c r="K174">
        <f>J174+H174-I174</f>
        <v>2</v>
      </c>
      <c r="L174">
        <f>G174*K174</f>
        <v>12</v>
      </c>
    </row>
    <row r="175">
      <c r="A175" t="str">
        <v>IT-57</v>
      </c>
      <c r="B175" t="str">
        <v>item</v>
      </c>
      <c r="C175" t="str">
        <v>Ultra Ball</v>
      </c>
      <c r="D175" t="str">
        <v>MEG 131/132</v>
      </c>
      <c r="E175" t="str">
        <v>normal</v>
      </c>
      <c r="F175" t="str">
        <v>HCM</v>
      </c>
      <c r="G175">
        <v>5</v>
      </c>
      <c r="H175">
        <v>3</v>
      </c>
      <c r="K175">
        <f>J175+H175-I175</f>
        <v>3</v>
      </c>
      <c r="L175">
        <f>G175*K175</f>
        <v>15</v>
      </c>
    </row>
    <row r="176">
      <c r="A176" t="str">
        <v>IT-57</v>
      </c>
      <c r="B176" t="str">
        <v>item</v>
      </c>
      <c r="C176" t="str">
        <v>Ultra Ball</v>
      </c>
      <c r="D176" t="str">
        <v>MEG 131/132</v>
      </c>
      <c r="E176" t="str">
        <v>holo</v>
      </c>
      <c r="F176" t="str">
        <v>HCM</v>
      </c>
      <c r="G176">
        <v>7</v>
      </c>
      <c r="H176">
        <v>1</v>
      </c>
      <c r="K176">
        <f>J176+H176-I176</f>
        <v>1</v>
      </c>
      <c r="L176">
        <f>G176*K176</f>
        <v>7</v>
      </c>
    </row>
    <row r="177">
      <c r="A177" t="str">
        <v>IT-57</v>
      </c>
      <c r="B177" t="str">
        <v>item</v>
      </c>
      <c r="C177" t="str">
        <v>Ultra Ball</v>
      </c>
      <c r="D177" t="str">
        <v>F 150/172</v>
      </c>
      <c r="E177" t="str">
        <v>normal</v>
      </c>
      <c r="F177" t="str">
        <v>HCM</v>
      </c>
      <c r="G177">
        <v>5</v>
      </c>
      <c r="H177">
        <v>10</v>
      </c>
      <c r="K177">
        <f>J177+H177-I177</f>
        <v>10</v>
      </c>
      <c r="L177">
        <f>G177*K177</f>
        <v>50</v>
      </c>
    </row>
    <row r="178">
      <c r="A178" t="str">
        <v>IT-57</v>
      </c>
      <c r="B178" t="str">
        <v>item</v>
      </c>
      <c r="C178" t="str">
        <v>Ultra Ball</v>
      </c>
      <c r="D178" t="str">
        <v>Sun and Moon 135/149</v>
      </c>
      <c r="E178" t="str">
        <v>normal</v>
      </c>
      <c r="F178" t="str">
        <v>HCM</v>
      </c>
      <c r="G178">
        <v>7</v>
      </c>
      <c r="H178">
        <v>1</v>
      </c>
      <c r="K178">
        <f>J178+H178-I178</f>
        <v>1</v>
      </c>
      <c r="L178">
        <f>G178*K178</f>
        <v>7</v>
      </c>
    </row>
    <row r="179">
      <c r="A179" t="str">
        <v>IT-57</v>
      </c>
      <c r="B179" t="str">
        <v>item</v>
      </c>
      <c r="C179" t="str">
        <v>Ultra Ball</v>
      </c>
      <c r="D179" t="str">
        <v>F 146/159</v>
      </c>
      <c r="E179" t="str">
        <v>normal</v>
      </c>
      <c r="F179" t="str">
        <v>HCM</v>
      </c>
      <c r="G179">
        <v>6</v>
      </c>
      <c r="H179">
        <v>27</v>
      </c>
      <c r="K179">
        <f>J179+H179-I179</f>
        <v>27</v>
      </c>
      <c r="L179">
        <f>G179*K179</f>
        <v>162</v>
      </c>
    </row>
    <row r="180">
      <c r="A180" t="str">
        <v>IT-47</v>
      </c>
      <c r="B180" t="str">
        <v>item</v>
      </c>
      <c r="C180" t="str">
        <v xml:space="preserve">Rare Candy </v>
      </c>
      <c r="D180" t="str">
        <v>F 69/78</v>
      </c>
      <c r="E180" t="str">
        <v>normal</v>
      </c>
      <c r="F180" t="str">
        <v>HCM</v>
      </c>
      <c r="G180">
        <v>6</v>
      </c>
      <c r="H180">
        <v>12</v>
      </c>
      <c r="K180">
        <f>J180+H180-I180</f>
        <v>12</v>
      </c>
      <c r="L180">
        <f>G180*K180</f>
        <v>72</v>
      </c>
    </row>
    <row r="181">
      <c r="A181" t="str">
        <v>IT-47</v>
      </c>
      <c r="B181" t="str">
        <v>item</v>
      </c>
      <c r="C181" t="str">
        <v xml:space="preserve">Rare Candy </v>
      </c>
      <c r="D181" t="str">
        <v>PAF 89/91</v>
      </c>
      <c r="E181" t="str">
        <v>normal</v>
      </c>
      <c r="F181" t="str">
        <v>HCM</v>
      </c>
      <c r="G181">
        <v>4</v>
      </c>
      <c r="H181">
        <v>10</v>
      </c>
      <c r="K181">
        <f>J181+H181-I181</f>
        <v>10</v>
      </c>
      <c r="L181">
        <f>G181*K181</f>
        <v>40</v>
      </c>
    </row>
    <row r="182">
      <c r="A182" t="str">
        <v>IT-47</v>
      </c>
      <c r="B182" t="str">
        <v>item</v>
      </c>
      <c r="C182" t="str">
        <v xml:space="preserve">Rare Candy </v>
      </c>
      <c r="D182" t="str">
        <v>PAF 89/91</v>
      </c>
      <c r="E182" t="str">
        <v>holo</v>
      </c>
      <c r="F182" t="str">
        <v>HCM</v>
      </c>
      <c r="G182">
        <v>5</v>
      </c>
      <c r="H182">
        <v>3</v>
      </c>
      <c r="K182">
        <f>J182+H182-I182</f>
        <v>3</v>
      </c>
      <c r="L182">
        <f>G182*K182</f>
        <v>15</v>
      </c>
    </row>
    <row r="183">
      <c r="A183" t="str">
        <v>IT-47</v>
      </c>
      <c r="B183" t="str">
        <v>item</v>
      </c>
      <c r="C183" t="str">
        <v xml:space="preserve">Rare Candy </v>
      </c>
      <c r="D183" t="str">
        <v>SVI 191/198</v>
      </c>
      <c r="E183" t="str">
        <v>holo</v>
      </c>
      <c r="F183" t="str">
        <v>HCM</v>
      </c>
      <c r="G183">
        <v>5</v>
      </c>
      <c r="H183">
        <v>2</v>
      </c>
      <c r="K183">
        <f>J183+H183-I183</f>
        <v>2</v>
      </c>
      <c r="L183">
        <f>G183*K183</f>
        <v>10</v>
      </c>
    </row>
    <row r="184">
      <c r="A184" t="str">
        <v>IT-47</v>
      </c>
      <c r="B184" t="str">
        <v>item</v>
      </c>
      <c r="C184" t="str">
        <v xml:space="preserve">Rare Candy </v>
      </c>
      <c r="D184" t="str">
        <v>SVI 191/198</v>
      </c>
      <c r="E184" t="str">
        <v>normal</v>
      </c>
      <c r="F184" t="str">
        <v>HCM</v>
      </c>
      <c r="G184">
        <v>4</v>
      </c>
      <c r="H184">
        <v>5</v>
      </c>
      <c r="K184">
        <f>J184+H184-I184</f>
        <v>5</v>
      </c>
      <c r="L184">
        <f>G184*K184</f>
        <v>20</v>
      </c>
    </row>
    <row r="185">
      <c r="A185" t="str">
        <v>IT-47</v>
      </c>
      <c r="B185" t="str">
        <v>item</v>
      </c>
      <c r="C185" t="str">
        <v xml:space="preserve">Rare Candy </v>
      </c>
      <c r="D185" t="str">
        <v>F 141/159</v>
      </c>
      <c r="E185" t="str">
        <v>normal</v>
      </c>
      <c r="F185" t="str">
        <v>HCM</v>
      </c>
      <c r="G185">
        <v>6</v>
      </c>
      <c r="H185">
        <v>40</v>
      </c>
      <c r="K185">
        <f>J185+H185-I185</f>
        <v>40</v>
      </c>
      <c r="L185">
        <f>G185*K185</f>
        <v>240</v>
      </c>
    </row>
    <row r="186">
      <c r="A186" t="str">
        <v>IT-47</v>
      </c>
      <c r="B186" t="str">
        <v>item</v>
      </c>
      <c r="C186" t="str">
        <v xml:space="preserve">Rare Candy </v>
      </c>
      <c r="D186" t="str">
        <v>MEG 125/132</v>
      </c>
      <c r="E186" t="str">
        <v>normal</v>
      </c>
      <c r="F186" t="str">
        <v>HCM</v>
      </c>
      <c r="G186">
        <v>5</v>
      </c>
      <c r="H186">
        <v>5</v>
      </c>
      <c r="K186">
        <f>J186+H186-I186</f>
        <v>5</v>
      </c>
      <c r="L186">
        <f>G186*K186</f>
        <v>25</v>
      </c>
    </row>
    <row r="187">
      <c r="A187" t="str">
        <v>IT-47</v>
      </c>
      <c r="B187" t="str">
        <v>item</v>
      </c>
      <c r="C187" t="str">
        <v xml:space="preserve">Rare Candy </v>
      </c>
      <c r="D187" t="str">
        <v>MEG 125/132</v>
      </c>
      <c r="E187" t="str">
        <v>holo</v>
      </c>
      <c r="F187" t="str">
        <v>HCM</v>
      </c>
      <c r="G187">
        <v>6</v>
      </c>
      <c r="H187">
        <v>1</v>
      </c>
      <c r="K187">
        <f>J187+H187-I187</f>
        <v>1</v>
      </c>
      <c r="L187">
        <f>G187*K187</f>
        <v>6</v>
      </c>
    </row>
    <row r="188">
      <c r="A188" t="str">
        <v>IT-03</v>
      </c>
      <c r="B188" t="str">
        <v>item</v>
      </c>
      <c r="C188" t="str">
        <v>Buddy Buddy Poffin</v>
      </c>
      <c r="D188" t="str">
        <v>TEF 144/162</v>
      </c>
      <c r="E188" t="str">
        <v>normal</v>
      </c>
      <c r="F188" t="str">
        <v>HCM</v>
      </c>
      <c r="G188">
        <v>7</v>
      </c>
      <c r="H188">
        <v>8</v>
      </c>
      <c r="K188">
        <f>J188+H188-I188</f>
        <v>8</v>
      </c>
      <c r="L188">
        <f>G188*K188</f>
        <v>56</v>
      </c>
    </row>
    <row r="189">
      <c r="A189" t="str">
        <v>IT-03</v>
      </c>
      <c r="B189" t="str">
        <v>item</v>
      </c>
      <c r="C189" t="str">
        <v>Buddy Buddy Poffin</v>
      </c>
      <c r="D189" t="str">
        <v>PRE 101/131</v>
      </c>
      <c r="E189" t="str">
        <v>normal</v>
      </c>
      <c r="F189" t="str">
        <v>HCM</v>
      </c>
      <c r="G189">
        <v>7</v>
      </c>
      <c r="H189">
        <v>7</v>
      </c>
      <c r="K189">
        <f>J189+H189-I189</f>
        <v>7</v>
      </c>
      <c r="L189">
        <f>G189*K189</f>
        <v>49</v>
      </c>
    </row>
    <row r="190">
      <c r="A190" t="str">
        <v>IT-03</v>
      </c>
      <c r="B190" t="str">
        <v>item</v>
      </c>
      <c r="C190" t="str">
        <v>Buddy Buddy Poffin</v>
      </c>
      <c r="D190" t="str">
        <v>ASC 184/217</v>
      </c>
      <c r="E190" t="str">
        <v>normal</v>
      </c>
      <c r="F190" t="str">
        <v>HCM</v>
      </c>
      <c r="G190">
        <v>6</v>
      </c>
      <c r="H190">
        <v>11</v>
      </c>
      <c r="K190">
        <f>J190+H190-I190</f>
        <v>11</v>
      </c>
      <c r="L190">
        <f>G190*K190</f>
        <v>66</v>
      </c>
    </row>
    <row r="191">
      <c r="A191" t="str">
        <v>IT-03</v>
      </c>
      <c r="B191" t="str">
        <v>item</v>
      </c>
      <c r="C191" t="str">
        <v>Buddy Buddy Poffin</v>
      </c>
      <c r="D191" t="str">
        <v>TEF 144/162</v>
      </c>
      <c r="E191" t="str">
        <v>holo</v>
      </c>
      <c r="F191" t="str">
        <v>HCM</v>
      </c>
      <c r="G191">
        <v>9</v>
      </c>
      <c r="H191">
        <v>2</v>
      </c>
      <c r="K191">
        <f>J191+H191-I191</f>
        <v>2</v>
      </c>
      <c r="L191">
        <f>G191*K191</f>
        <v>18</v>
      </c>
    </row>
    <row r="192">
      <c r="A192" t="str">
        <v>IT-03</v>
      </c>
      <c r="B192" t="str">
        <v>item</v>
      </c>
      <c r="C192" t="str">
        <v>Buddy Buddy Poffin</v>
      </c>
      <c r="D192" t="str">
        <v>PRE 101/131</v>
      </c>
      <c r="E192" t="str">
        <v>holo</v>
      </c>
      <c r="F192" t="str">
        <v>HCM</v>
      </c>
      <c r="G192">
        <v>9</v>
      </c>
      <c r="H192">
        <v>1</v>
      </c>
      <c r="K192">
        <f>J192+H192-I192</f>
        <v>1</v>
      </c>
      <c r="L192">
        <f>G192*K192</f>
        <v>9</v>
      </c>
    </row>
    <row r="193">
      <c r="A193" t="str">
        <v>IT-50</v>
      </c>
      <c r="B193" t="str">
        <v>item</v>
      </c>
      <c r="C193" t="str">
        <v>Roto Stick</v>
      </c>
      <c r="D193" t="str">
        <v>PRE 127/131</v>
      </c>
      <c r="E193" t="str">
        <v>normal</v>
      </c>
      <c r="F193" t="str">
        <v>HCM</v>
      </c>
      <c r="G193">
        <v>3</v>
      </c>
      <c r="H193">
        <v>11</v>
      </c>
      <c r="K193">
        <f>J193+H193-I193</f>
        <v>11</v>
      </c>
      <c r="L193">
        <f>G193*K193</f>
        <v>33</v>
      </c>
    </row>
    <row r="194">
      <c r="A194" t="str">
        <v>IT-50</v>
      </c>
      <c r="B194" t="str">
        <v>item</v>
      </c>
      <c r="C194" t="str">
        <v>Roto Stick</v>
      </c>
      <c r="D194" t="str">
        <v>PRE 127/131</v>
      </c>
      <c r="E194" t="str">
        <v>holo</v>
      </c>
      <c r="F194" t="str">
        <v>HCM</v>
      </c>
      <c r="G194">
        <v>3</v>
      </c>
      <c r="H194">
        <v>2</v>
      </c>
      <c r="K194">
        <f>J194+H194-I194</f>
        <v>2</v>
      </c>
      <c r="L194">
        <f>G194*K194</f>
        <v>6</v>
      </c>
    </row>
    <row r="195">
      <c r="A195" t="str">
        <v>IT-21</v>
      </c>
      <c r="B195" t="str">
        <v>item</v>
      </c>
      <c r="C195" t="str">
        <v>GLASS TRUMPET</v>
      </c>
      <c r="D195" t="str">
        <v>PRE 110/131</v>
      </c>
      <c r="E195" t="str">
        <v>normal</v>
      </c>
      <c r="F195" t="str">
        <v>HCM</v>
      </c>
      <c r="G195">
        <v>3</v>
      </c>
      <c r="H195">
        <v>13</v>
      </c>
      <c r="K195">
        <f>J195+H195-I195</f>
        <v>13</v>
      </c>
      <c r="L195">
        <f>G195*K195</f>
        <v>39</v>
      </c>
    </row>
    <row r="196">
      <c r="A196" t="str">
        <v>IT-21</v>
      </c>
      <c r="B196" t="str">
        <v>item</v>
      </c>
      <c r="C196" t="str">
        <v>GLASS TRUMPET</v>
      </c>
      <c r="D196" t="str">
        <v>PRE 110/131</v>
      </c>
      <c r="E196" t="str">
        <v>holo</v>
      </c>
      <c r="F196" t="str">
        <v>HCM</v>
      </c>
      <c r="G196">
        <v>5</v>
      </c>
      <c r="H196">
        <v>1</v>
      </c>
      <c r="K196">
        <f>J196+H196-I196</f>
        <v>1</v>
      </c>
      <c r="L196">
        <f>G196*K196</f>
        <v>5</v>
      </c>
    </row>
    <row r="197">
      <c r="A197" t="str">
        <v>IT-21</v>
      </c>
      <c r="B197" t="str">
        <v>item</v>
      </c>
      <c r="C197" t="str">
        <v>GLASS TRUMPET</v>
      </c>
      <c r="D197" t="str">
        <v>SCR 135/142</v>
      </c>
      <c r="E197" t="str">
        <v>normal</v>
      </c>
      <c r="F197" t="str">
        <v>HCM</v>
      </c>
      <c r="G197">
        <v>3</v>
      </c>
      <c r="H197">
        <v>32</v>
      </c>
      <c r="K197">
        <f>J197+H197-I197</f>
        <v>32</v>
      </c>
      <c r="L197">
        <f>G197*K197</f>
        <v>96</v>
      </c>
    </row>
    <row r="198">
      <c r="A198" t="str">
        <v>IT-21</v>
      </c>
      <c r="B198" t="str">
        <v>item</v>
      </c>
      <c r="C198" t="str">
        <v>GLASS TRUMPET</v>
      </c>
      <c r="D198" t="str">
        <v>SCR 135/142</v>
      </c>
      <c r="E198" t="str">
        <v>holo</v>
      </c>
      <c r="F198" t="str">
        <v>HCM</v>
      </c>
      <c r="G198">
        <v>3</v>
      </c>
      <c r="H198">
        <v>3</v>
      </c>
      <c r="K198">
        <f>J198+H198-I198</f>
        <v>3</v>
      </c>
      <c r="L198">
        <f>G198*K198</f>
        <v>9</v>
      </c>
    </row>
    <row r="199">
      <c r="A199" t="str">
        <v>IT-39</v>
      </c>
      <c r="B199" t="str">
        <v>item</v>
      </c>
      <c r="C199" t="str">
        <v>Premium Power Pro</v>
      </c>
      <c r="D199" t="str">
        <v>MEG 124/132</v>
      </c>
      <c r="E199" t="str">
        <v>normal</v>
      </c>
      <c r="F199" t="str">
        <v>HCM</v>
      </c>
      <c r="G199">
        <v>6</v>
      </c>
      <c r="H199">
        <v>15</v>
      </c>
      <c r="K199">
        <f>J199+H199-I199</f>
        <v>15</v>
      </c>
      <c r="L199">
        <f>G199*K199</f>
        <v>90</v>
      </c>
    </row>
    <row r="200">
      <c r="A200" t="str">
        <v>IT-11</v>
      </c>
      <c r="B200" t="str">
        <v>item</v>
      </c>
      <c r="C200" t="str">
        <v>Fighting Gong</v>
      </c>
      <c r="D200" t="str">
        <v>ASC 187/217</v>
      </c>
      <c r="E200" t="str">
        <v>normal</v>
      </c>
      <c r="F200" t="str">
        <v>HCM</v>
      </c>
      <c r="G200">
        <v>5</v>
      </c>
      <c r="H200">
        <v>0</v>
      </c>
      <c r="K200">
        <f>J200+H200-I200</f>
        <v>0</v>
      </c>
      <c r="L200">
        <f>G200*K200</f>
        <v>0</v>
      </c>
    </row>
    <row r="201">
      <c r="A201" t="str">
        <v>IT-11</v>
      </c>
      <c r="B201" t="str">
        <v>item</v>
      </c>
      <c r="C201" t="str">
        <v>Fighting Gong</v>
      </c>
      <c r="D201" t="str">
        <v>MEG 116/132</v>
      </c>
      <c r="E201" t="str">
        <v>normal</v>
      </c>
      <c r="F201" t="str">
        <v>HCM</v>
      </c>
      <c r="G201">
        <v>5</v>
      </c>
      <c r="H201">
        <v>6</v>
      </c>
      <c r="K201">
        <f>J201+H201-I201</f>
        <v>6</v>
      </c>
      <c r="L201">
        <f>G201*K201</f>
        <v>30</v>
      </c>
    </row>
    <row r="202">
      <c r="A202" t="str">
        <v>IT-04</v>
      </c>
      <c r="B202" t="str">
        <v>item</v>
      </c>
      <c r="C202" t="str">
        <v xml:space="preserve">Bug Catching Set </v>
      </c>
      <c r="D202" t="str">
        <v>PRE 102/31</v>
      </c>
      <c r="E202" t="str">
        <v>normal</v>
      </c>
      <c r="F202" t="str">
        <v>HCM</v>
      </c>
      <c r="G202">
        <v>5</v>
      </c>
      <c r="H202">
        <v>23</v>
      </c>
      <c r="K202">
        <f>J202+H202-I202</f>
        <v>23</v>
      </c>
      <c r="L202">
        <f>G202*K202</f>
        <v>115</v>
      </c>
    </row>
    <row r="203">
      <c r="A203" t="str">
        <v>IT-04</v>
      </c>
      <c r="B203" t="str">
        <v>item</v>
      </c>
      <c r="C203" t="str">
        <v xml:space="preserve">Bug Catching Set </v>
      </c>
      <c r="D203" t="str">
        <v>PRE 102/31</v>
      </c>
      <c r="E203" t="str">
        <v>holo</v>
      </c>
      <c r="F203" t="str">
        <v>HCM</v>
      </c>
      <c r="G203">
        <v>6</v>
      </c>
      <c r="H203">
        <v>1</v>
      </c>
    </row>
    <row r="204">
      <c r="A204" t="str">
        <v>IT-04</v>
      </c>
      <c r="B204" t="str">
        <v>item</v>
      </c>
      <c r="C204" t="str">
        <v xml:space="preserve">Bug Catching Set </v>
      </c>
      <c r="D204" t="str">
        <v>TWM 143/167</v>
      </c>
      <c r="E204" t="str">
        <v>normal</v>
      </c>
      <c r="F204" t="str">
        <v>HCM</v>
      </c>
      <c r="G204">
        <v>5</v>
      </c>
      <c r="H204">
        <v>5</v>
      </c>
      <c r="K204">
        <f>J204+H204-I204</f>
        <v>5</v>
      </c>
      <c r="L204">
        <f>G204*K204</f>
        <v>25</v>
      </c>
    </row>
    <row r="205">
      <c r="A205" t="str">
        <v>PC-IT-04</v>
      </c>
      <c r="B205" t="str">
        <v>item</v>
      </c>
      <c r="C205" t="str">
        <v>COUNTER CATCHER</v>
      </c>
      <c r="D205" t="str">
        <v>PAR 160/182</v>
      </c>
      <c r="E205" t="str">
        <v>holo prize card</v>
      </c>
      <c r="F205" t="str">
        <v>HCM</v>
      </c>
      <c r="G205">
        <v>8</v>
      </c>
      <c r="H205">
        <v>1</v>
      </c>
      <c r="K205">
        <f>J205+H205-I205</f>
        <v>1</v>
      </c>
      <c r="L205">
        <f>G205*K205</f>
        <v>8</v>
      </c>
    </row>
    <row r="206">
      <c r="A206" t="str">
        <v>IT-04</v>
      </c>
      <c r="B206" t="str">
        <v>item</v>
      </c>
      <c r="C206" t="str">
        <v xml:space="preserve">Bug Catching Set </v>
      </c>
      <c r="D206" t="str">
        <v>TWM 143/167</v>
      </c>
      <c r="E206" t="str">
        <v>holo</v>
      </c>
      <c r="F206" t="str">
        <v>HCM</v>
      </c>
      <c r="G206">
        <v>7</v>
      </c>
      <c r="H206">
        <v>1</v>
      </c>
      <c r="K206">
        <f>J206+H206-I206</f>
        <v>1</v>
      </c>
      <c r="L206">
        <f>G206*K206</f>
        <v>7</v>
      </c>
    </row>
    <row r="207">
      <c r="A207" t="str">
        <v>IT-58</v>
      </c>
      <c r="B207" t="str">
        <v>item</v>
      </c>
      <c r="C207" t="str">
        <v>Wondrous Patch</v>
      </c>
      <c r="D207" t="str">
        <v xml:space="preserve"> PFL 94/94</v>
      </c>
      <c r="E207" t="str">
        <v>normal</v>
      </c>
      <c r="F207" t="str">
        <v>HCM</v>
      </c>
      <c r="G207">
        <v>5</v>
      </c>
      <c r="H207">
        <v>47</v>
      </c>
      <c r="K207">
        <f>J207+H207-I207</f>
        <v>47</v>
      </c>
      <c r="L207">
        <f>G207*K207</f>
        <v>235</v>
      </c>
    </row>
    <row r="208">
      <c r="A208" t="str">
        <v>IT-58</v>
      </c>
      <c r="B208" t="str">
        <v>item</v>
      </c>
      <c r="C208" t="str">
        <v>Wondrous Patch</v>
      </c>
      <c r="D208" t="str">
        <v xml:space="preserve"> PFL 94/94</v>
      </c>
      <c r="E208" t="str">
        <v>holo</v>
      </c>
      <c r="F208" t="str">
        <v>HCM</v>
      </c>
      <c r="G208">
        <v>5</v>
      </c>
      <c r="H208">
        <v>8</v>
      </c>
      <c r="K208">
        <f>J208+H208-I208</f>
        <v>8</v>
      </c>
      <c r="L208">
        <f>G208*K208</f>
        <v>40</v>
      </c>
    </row>
    <row r="209">
      <c r="A209" t="str">
        <v>IT-42</v>
      </c>
      <c r="B209" t="str">
        <v>item</v>
      </c>
      <c r="C209" t="str">
        <v xml:space="preserve">Team Rocket's Transceiver </v>
      </c>
      <c r="D209" t="str">
        <v>DRI 178/182</v>
      </c>
      <c r="E209" t="str">
        <v>normal</v>
      </c>
      <c r="F209" t="str">
        <v>HCM</v>
      </c>
      <c r="G209">
        <v>5</v>
      </c>
      <c r="H209">
        <v>35</v>
      </c>
      <c r="K209">
        <f>J209+H209-I209</f>
        <v>35</v>
      </c>
      <c r="L209">
        <f>G209*K209</f>
        <v>175</v>
      </c>
    </row>
    <row r="210">
      <c r="A210" t="str">
        <v>IT-42</v>
      </c>
      <c r="B210" t="str">
        <v>item</v>
      </c>
      <c r="C210" t="str">
        <v xml:space="preserve">Team Rocket's Transceiver </v>
      </c>
      <c r="D210" t="str">
        <v>DRI 178/182</v>
      </c>
      <c r="E210" t="str">
        <v>holo</v>
      </c>
      <c r="F210" t="str">
        <v>HCM</v>
      </c>
      <c r="G210">
        <v>5</v>
      </c>
      <c r="H210">
        <v>1</v>
      </c>
      <c r="K210">
        <f>J210+H210-I210</f>
        <v>1</v>
      </c>
      <c r="L210">
        <f>G210*K210</f>
        <v>5</v>
      </c>
    </row>
    <row r="211">
      <c r="A211" t="str">
        <v>PO-W-08B</v>
      </c>
      <c r="B211" t="str">
        <v>pokemon</v>
      </c>
      <c r="C211" t="str">
        <v>Dudunsparce</v>
      </c>
      <c r="D211" t="str">
        <v>PRE   80/131</v>
      </c>
      <c r="E211" t="str">
        <v>normal</v>
      </c>
      <c r="F211" t="str">
        <v>HCM</v>
      </c>
      <c r="G211">
        <v>6</v>
      </c>
      <c r="H211">
        <v>3</v>
      </c>
      <c r="K211">
        <f>J211+H211-I211</f>
        <v>3</v>
      </c>
      <c r="L211">
        <f>G211*K211</f>
        <v>18</v>
      </c>
    </row>
    <row r="212">
      <c r="A212" t="str">
        <v>PO-W-08B</v>
      </c>
      <c r="B212" t="str">
        <v>pokemon</v>
      </c>
      <c r="C212" t="str">
        <v>Dudunsparce</v>
      </c>
      <c r="D212" t="str">
        <v>TEF 129/162</v>
      </c>
      <c r="E212" t="str">
        <v>holo</v>
      </c>
      <c r="F212" t="str">
        <v>HCM</v>
      </c>
      <c r="G212">
        <v>12</v>
      </c>
      <c r="H212">
        <v>2</v>
      </c>
      <c r="K212">
        <f>J212+H212-I212</f>
        <v>2</v>
      </c>
      <c r="L212">
        <f>G212*K212</f>
        <v>24</v>
      </c>
    </row>
    <row r="213">
      <c r="A213" t="str">
        <v>PO-W-22</v>
      </c>
      <c r="B213" t="str">
        <v>pokemon</v>
      </c>
      <c r="C213" t="str">
        <v>Noctowl</v>
      </c>
      <c r="D213" t="str">
        <v>PRE 78/131</v>
      </c>
      <c r="E213" t="str">
        <v>normal</v>
      </c>
      <c r="F213" t="str">
        <v>HCM</v>
      </c>
      <c r="G213">
        <v>5</v>
      </c>
      <c r="H213">
        <v>11</v>
      </c>
      <c r="K213">
        <f>J213+H213-I213</f>
        <v>11</v>
      </c>
      <c r="L213">
        <f>G213*K213</f>
        <v>55</v>
      </c>
    </row>
    <row r="214">
      <c r="A214" t="str">
        <v>PO-W-22</v>
      </c>
      <c r="B214" t="str">
        <v>pokemon</v>
      </c>
      <c r="C214" t="str">
        <v>Noctowl</v>
      </c>
      <c r="D214" t="str">
        <v>PRE 78/131</v>
      </c>
      <c r="E214" t="str">
        <v>holo</v>
      </c>
      <c r="F214" t="str">
        <v>HCM</v>
      </c>
      <c r="G214">
        <v>7</v>
      </c>
      <c r="H214">
        <v>3</v>
      </c>
      <c r="K214">
        <f>J214+H214-I214</f>
        <v>3</v>
      </c>
      <c r="L214">
        <f>G214*K214</f>
        <v>21</v>
      </c>
    </row>
    <row r="215">
      <c r="A215" t="str">
        <v>PO-W-12</v>
      </c>
      <c r="B215" t="str">
        <v>pokemon</v>
      </c>
      <c r="C215" t="str">
        <v xml:space="preserve">Fan Rotom </v>
      </c>
      <c r="D215" t="str">
        <v>SCR 118/142</v>
      </c>
      <c r="E215" t="str">
        <v>normal</v>
      </c>
      <c r="F215" t="str">
        <v>HCM</v>
      </c>
      <c r="G215">
        <v>4</v>
      </c>
      <c r="H215">
        <v>9</v>
      </c>
      <c r="K215">
        <f>J215+H215-I215</f>
        <v>9</v>
      </c>
      <c r="L215">
        <f>G215*K215</f>
        <v>36</v>
      </c>
    </row>
    <row r="216">
      <c r="A216" t="str">
        <v>PO-W-12</v>
      </c>
      <c r="B216" t="str">
        <v>pokemon</v>
      </c>
      <c r="C216" t="str">
        <v xml:space="preserve">Fan Rotom </v>
      </c>
      <c r="D216" t="str">
        <v>SCR 118/142</v>
      </c>
      <c r="E216" t="str">
        <v>holo</v>
      </c>
      <c r="F216" t="str">
        <v>HCM</v>
      </c>
      <c r="G216">
        <v>5</v>
      </c>
      <c r="H216">
        <v>3</v>
      </c>
      <c r="K216">
        <f>J216+H216-I216</f>
        <v>3</v>
      </c>
      <c r="L216">
        <f>G216*K216</f>
        <v>15</v>
      </c>
    </row>
    <row r="217">
      <c r="A217" t="str">
        <v>PO-W-12</v>
      </c>
      <c r="B217" t="str">
        <v>pokemon</v>
      </c>
      <c r="C217" t="str">
        <v xml:space="preserve">Fan Rotom </v>
      </c>
      <c r="D217" t="str">
        <v>PRE 85/131</v>
      </c>
      <c r="E217" t="str">
        <v>normal</v>
      </c>
      <c r="F217" t="str">
        <v>HCM</v>
      </c>
      <c r="G217">
        <v>6</v>
      </c>
      <c r="H217">
        <v>12</v>
      </c>
      <c r="K217">
        <f>J217+H217-I217</f>
        <v>12</v>
      </c>
      <c r="L217">
        <f>G217*K217</f>
        <v>72</v>
      </c>
    </row>
    <row r="218">
      <c r="A218" t="str">
        <v>PO-W-12</v>
      </c>
      <c r="B218" t="str">
        <v>pokemon</v>
      </c>
      <c r="C218" t="str">
        <v xml:space="preserve">Fan Rotom </v>
      </c>
      <c r="D218" t="str">
        <v>ASC 171/217</v>
      </c>
      <c r="E218" t="str">
        <v>normal</v>
      </c>
      <c r="F218" t="str">
        <v>HCM</v>
      </c>
      <c r="G218">
        <v>6</v>
      </c>
      <c r="H218">
        <v>6</v>
      </c>
      <c r="K218">
        <f>J218+H218-I218</f>
        <v>6</v>
      </c>
    </row>
    <row r="219">
      <c r="A219" t="str">
        <v>PO-P-08</v>
      </c>
      <c r="B219" t="str">
        <v>pokemon</v>
      </c>
      <c r="C219" t="str">
        <v xml:space="preserve">Dusknoir </v>
      </c>
      <c r="D219" t="str">
        <v>SFA 20/64</v>
      </c>
      <c r="E219" t="str">
        <v>normal</v>
      </c>
      <c r="F219" t="str">
        <v>HCM</v>
      </c>
      <c r="G219">
        <v>5</v>
      </c>
      <c r="H219">
        <v>5</v>
      </c>
      <c r="K219">
        <f>J219+H219-I219</f>
        <v>5</v>
      </c>
      <c r="L219">
        <f>G219*K219</f>
        <v>25</v>
      </c>
    </row>
    <row r="220">
      <c r="A220" t="str">
        <v>PO-P-08</v>
      </c>
      <c r="B220" t="str">
        <v>pokemon</v>
      </c>
      <c r="C220" t="str">
        <v xml:space="preserve">Dusknoir </v>
      </c>
      <c r="D220" t="str">
        <v>PRE 37/131</v>
      </c>
      <c r="E220" t="str">
        <v>normal</v>
      </c>
      <c r="F220" t="str">
        <v>HCM</v>
      </c>
      <c r="G220">
        <v>5</v>
      </c>
      <c r="H220">
        <v>2</v>
      </c>
      <c r="K220">
        <f>J220+H220-I220</f>
        <v>2</v>
      </c>
      <c r="L220">
        <f>G220*K220</f>
        <v>10</v>
      </c>
    </row>
    <row r="221">
      <c r="A221" t="str">
        <v>PO-P-08</v>
      </c>
      <c r="B221" t="str">
        <v>pokemon</v>
      </c>
      <c r="C221" t="str">
        <v xml:space="preserve">Dusknoir </v>
      </c>
      <c r="D221" t="str">
        <v>PRE 37/131</v>
      </c>
      <c r="E221" t="str">
        <v>holo</v>
      </c>
      <c r="F221" t="str">
        <v>HCM</v>
      </c>
      <c r="G221">
        <v>7</v>
      </c>
      <c r="H221">
        <v>1</v>
      </c>
      <c r="K221">
        <f>J221+H221-I221</f>
        <v>1</v>
      </c>
    </row>
    <row r="222">
      <c r="A222" t="str">
        <v>PO-P-07</v>
      </c>
      <c r="B222" t="str">
        <v>pokemon</v>
      </c>
      <c r="C222" t="str">
        <v>Dusclops</v>
      </c>
      <c r="D222" t="str">
        <v>SFA 19/64</v>
      </c>
      <c r="E222" t="str">
        <v>holo</v>
      </c>
      <c r="F222" t="str">
        <v>HCM</v>
      </c>
      <c r="G222">
        <v>4</v>
      </c>
      <c r="H222">
        <v>2</v>
      </c>
      <c r="K222">
        <f>J222+H222-I222</f>
        <v>2</v>
      </c>
      <c r="L222">
        <f>G222*K222</f>
        <v>8</v>
      </c>
    </row>
    <row r="223">
      <c r="A223" t="str">
        <v>PO-P-07</v>
      </c>
      <c r="B223" t="str">
        <v>pokemon</v>
      </c>
      <c r="C223" t="str">
        <v>Dusclops</v>
      </c>
      <c r="D223" t="str">
        <v>SFA 19/64</v>
      </c>
      <c r="E223" t="str">
        <v>normal</v>
      </c>
      <c r="F223" t="str">
        <v>HCM</v>
      </c>
      <c r="G223">
        <v>4</v>
      </c>
      <c r="H223">
        <v>4</v>
      </c>
      <c r="K223">
        <f>J223+H223-I223</f>
        <v>4</v>
      </c>
      <c r="L223">
        <f>G223*K223</f>
        <v>16</v>
      </c>
    </row>
    <row r="224">
      <c r="A224" t="str">
        <v>PO-P-07</v>
      </c>
      <c r="B224" t="str">
        <v>pokemon</v>
      </c>
      <c r="C224" t="str">
        <v>Dusclops</v>
      </c>
      <c r="D224" t="str">
        <v>PRE 36/131</v>
      </c>
      <c r="E224" t="str">
        <v>normal</v>
      </c>
      <c r="F224" t="str">
        <v>HCM</v>
      </c>
      <c r="G224">
        <v>5</v>
      </c>
      <c r="H224">
        <v>19</v>
      </c>
      <c r="K224">
        <f>J224+H224-I224</f>
        <v>19</v>
      </c>
      <c r="L224">
        <f>G224*K224</f>
        <v>95</v>
      </c>
    </row>
    <row r="225">
      <c r="A225" t="str">
        <v>PO-P-06</v>
      </c>
      <c r="B225" t="str">
        <v>pokemon</v>
      </c>
      <c r="C225" t="str">
        <v>Duskull</v>
      </c>
      <c r="D225" t="str">
        <v>SFA 18/64</v>
      </c>
      <c r="E225" t="str">
        <v>normal</v>
      </c>
      <c r="F225" t="str">
        <v>HCM</v>
      </c>
      <c r="G225">
        <v>4</v>
      </c>
      <c r="H225">
        <v>1</v>
      </c>
      <c r="J225">
        <v>2</v>
      </c>
      <c r="K225">
        <f>J225+H225-I225</f>
        <v>3</v>
      </c>
      <c r="L225">
        <f>G225*K225</f>
        <v>12</v>
      </c>
    </row>
    <row r="226">
      <c r="A226" t="str">
        <v>PO-P-06</v>
      </c>
      <c r="B226" t="str">
        <v>pokemon</v>
      </c>
      <c r="C226" t="str">
        <v>Duskull</v>
      </c>
      <c r="D226" t="str">
        <v>PRE 35/131</v>
      </c>
      <c r="E226" t="str">
        <v>normal</v>
      </c>
      <c r="F226" t="str">
        <v>HCM</v>
      </c>
      <c r="G226">
        <v>4</v>
      </c>
      <c r="H226">
        <v>14</v>
      </c>
      <c r="K226">
        <f>J226+H226-I226</f>
        <v>14</v>
      </c>
      <c r="L226">
        <f>G226*K226</f>
        <v>56</v>
      </c>
    </row>
    <row r="227">
      <c r="A227" t="str">
        <v>PO-W-14</v>
      </c>
      <c r="B227" t="str">
        <v>pokemon</v>
      </c>
      <c r="C227" t="str">
        <v>Genesect</v>
      </c>
      <c r="D227" t="str">
        <v>SFA 40/64</v>
      </c>
      <c r="E227" t="str">
        <v>normal</v>
      </c>
      <c r="F227" t="str">
        <v>HCM</v>
      </c>
      <c r="G227">
        <v>4</v>
      </c>
      <c r="H227">
        <v>10</v>
      </c>
      <c r="I227">
        <v>1</v>
      </c>
      <c r="K227">
        <f>J227+H227-I227</f>
        <v>9</v>
      </c>
      <c r="L227">
        <f>G227*K227</f>
        <v>36</v>
      </c>
    </row>
    <row r="228">
      <c r="A228" t="str">
        <v>PO-W-14</v>
      </c>
      <c r="B228" t="str">
        <v>pokemon</v>
      </c>
      <c r="C228" t="str">
        <v>Genesect</v>
      </c>
      <c r="D228" t="str">
        <v>SFA 40/64</v>
      </c>
      <c r="E228" t="str">
        <v>holo</v>
      </c>
      <c r="F228" t="str">
        <v>HCM</v>
      </c>
      <c r="G228">
        <v>5</v>
      </c>
      <c r="H228">
        <v>1</v>
      </c>
      <c r="K228">
        <f>J228+H228-I228</f>
        <v>1</v>
      </c>
      <c r="L228">
        <f>G228*K228</f>
        <v>5</v>
      </c>
    </row>
    <row r="229">
      <c r="A229" t="str">
        <v>PC-PO-025</v>
      </c>
      <c r="B229" t="str">
        <v>pokemon</v>
      </c>
      <c r="C229" t="str">
        <v>Ethan's Quilava</v>
      </c>
      <c r="D229" t="str">
        <v>DRI 33/182</v>
      </c>
      <c r="E229" t="str">
        <v>prize card</v>
      </c>
      <c r="F229" t="str">
        <v>HCM</v>
      </c>
      <c r="G229">
        <v>6</v>
      </c>
      <c r="H229">
        <v>2</v>
      </c>
      <c r="K229">
        <f>J229+H229-I229</f>
        <v>2</v>
      </c>
      <c r="L229">
        <f>G229*K229</f>
        <v>12</v>
      </c>
    </row>
    <row r="230">
      <c r="A230" t="str">
        <v>PO-R-17</v>
      </c>
      <c r="B230" t="str">
        <v>pokemon</v>
      </c>
      <c r="C230" t="str">
        <v>Ethan's Quilava</v>
      </c>
      <c r="D230" t="str">
        <v>DRI 33/182</v>
      </c>
      <c r="E230" t="str">
        <v>normal</v>
      </c>
      <c r="F230" t="str">
        <v>HCM</v>
      </c>
      <c r="G230">
        <v>6</v>
      </c>
      <c r="H230">
        <v>24</v>
      </c>
      <c r="K230">
        <f>J230+H230-I230</f>
        <v>24</v>
      </c>
      <c r="L230">
        <f>G230*K230</f>
        <v>144</v>
      </c>
    </row>
    <row r="231">
      <c r="A231" t="str">
        <v>PO-R-17</v>
      </c>
      <c r="B231" t="str">
        <v>pokemon</v>
      </c>
      <c r="C231" t="str">
        <v>Ethan's Quilava</v>
      </c>
      <c r="D231" t="str">
        <v>DRI 33/182</v>
      </c>
      <c r="E231" t="str">
        <v>holo</v>
      </c>
      <c r="F231" t="str">
        <v>HCM</v>
      </c>
      <c r="G231">
        <v>7</v>
      </c>
      <c r="H231">
        <v>6</v>
      </c>
      <c r="K231">
        <f>J231+H231-I231</f>
        <v>6</v>
      </c>
      <c r="L231">
        <f>G231*K231</f>
        <v>42</v>
      </c>
    </row>
    <row r="232">
      <c r="A232" t="str">
        <v>PO-R-09</v>
      </c>
      <c r="B232" t="str">
        <v>pokemon</v>
      </c>
      <c r="C232" t="str">
        <v>Ethan's Cyndaquil</v>
      </c>
      <c r="D232" t="str">
        <v>DRI 32/182</v>
      </c>
      <c r="E232" t="str">
        <v>normal</v>
      </c>
      <c r="F232" t="str">
        <v>HCM</v>
      </c>
      <c r="G232">
        <v>4</v>
      </c>
      <c r="H232">
        <v>47</v>
      </c>
      <c r="K232">
        <f>J232+H232-I232</f>
        <v>47</v>
      </c>
      <c r="L232">
        <f>G232*K232</f>
        <v>188</v>
      </c>
    </row>
    <row r="233">
      <c r="A233" t="str">
        <v>PO-R-09</v>
      </c>
      <c r="B233" t="str">
        <v>pokemon</v>
      </c>
      <c r="C233" t="str">
        <v>Ethan's Cyndaquil</v>
      </c>
      <c r="D233" t="str">
        <v>DRI 32/182</v>
      </c>
      <c r="E233" t="str">
        <v>holo</v>
      </c>
      <c r="F233" t="str">
        <v>HCM</v>
      </c>
      <c r="G233">
        <v>5</v>
      </c>
      <c r="H233">
        <v>3</v>
      </c>
      <c r="K233">
        <f>J233+H233-I233</f>
        <v>3</v>
      </c>
      <c r="L233">
        <f>G233*K233</f>
        <v>15</v>
      </c>
    </row>
    <row r="234">
      <c r="A234" t="str">
        <v>PO-G-02</v>
      </c>
      <c r="B234" t="str">
        <v>pokemon</v>
      </c>
      <c r="C234" t="str">
        <v>APPLIN</v>
      </c>
      <c r="D234" t="str">
        <v>PRE 9/131</v>
      </c>
      <c r="E234" t="str">
        <v>normal</v>
      </c>
      <c r="F234" t="str">
        <v>HCM</v>
      </c>
      <c r="G234">
        <v>3</v>
      </c>
      <c r="H234">
        <v>5</v>
      </c>
      <c r="K234">
        <f>J234+H234-I234</f>
        <v>5</v>
      </c>
      <c r="L234">
        <f>G234*K234</f>
        <v>15</v>
      </c>
    </row>
    <row r="235">
      <c r="A235" t="str">
        <v>PO-G-09</v>
      </c>
      <c r="B235" t="str">
        <v>pokemon</v>
      </c>
      <c r="C235" t="str">
        <v>Dipplin</v>
      </c>
      <c r="D235" t="str">
        <v>PRE 10/131</v>
      </c>
      <c r="E235" t="str">
        <v>normal</v>
      </c>
      <c r="F235" t="str">
        <v>HCM</v>
      </c>
      <c r="G235">
        <v>5</v>
      </c>
      <c r="H235">
        <v>21</v>
      </c>
      <c r="K235">
        <f>J235+H235-I235</f>
        <v>21</v>
      </c>
      <c r="L235">
        <f>G235*K235</f>
        <v>105</v>
      </c>
    </row>
    <row r="236">
      <c r="A236" t="str">
        <v>PO-G-09</v>
      </c>
      <c r="B236" t="str">
        <v>pokemon</v>
      </c>
      <c r="C236" t="str">
        <v>Dipplin</v>
      </c>
      <c r="D236" t="str">
        <v>TWM  18/167</v>
      </c>
      <c r="E236" t="str">
        <v>normal</v>
      </c>
      <c r="F236" t="str">
        <v>HCM</v>
      </c>
      <c r="G236">
        <v>3</v>
      </c>
      <c r="H236">
        <v>8</v>
      </c>
      <c r="K236">
        <f>J236+H236-I236</f>
        <v>8</v>
      </c>
      <c r="L236">
        <f>G236*K236</f>
        <v>24</v>
      </c>
    </row>
    <row r="237">
      <c r="A237" t="str">
        <v>PO-LB-06</v>
      </c>
      <c r="B237" t="str">
        <v>pokemon</v>
      </c>
      <c r="C237" t="str">
        <v>Goldeen</v>
      </c>
      <c r="D237" t="str">
        <v>PRE 20/131</v>
      </c>
      <c r="E237" t="str">
        <v>normal</v>
      </c>
      <c r="F237" t="str">
        <v>HCM</v>
      </c>
      <c r="G237">
        <v>3</v>
      </c>
      <c r="H237">
        <v>18</v>
      </c>
      <c r="K237">
        <f>J237+H237-I237</f>
        <v>18</v>
      </c>
      <c r="L237">
        <f>G237*K237</f>
        <v>54</v>
      </c>
    </row>
    <row r="238">
      <c r="A238" t="str">
        <v>PO-LB-06</v>
      </c>
      <c r="B238" t="str">
        <v>pokemon</v>
      </c>
      <c r="C238" t="str">
        <v>Goldeen</v>
      </c>
      <c r="D238" t="str">
        <v>PRE 20/131</v>
      </c>
      <c r="E238" t="str">
        <v>holo</v>
      </c>
      <c r="F238" t="str">
        <v>HCM</v>
      </c>
      <c r="G238">
        <v>5</v>
      </c>
      <c r="H238">
        <v>2</v>
      </c>
      <c r="K238">
        <f>J238+H238-I238</f>
        <v>2</v>
      </c>
      <c r="L238">
        <f>G238*K238</f>
        <v>10</v>
      </c>
    </row>
    <row r="239">
      <c r="A239" t="str">
        <v>PO-LB-06</v>
      </c>
      <c r="B239" t="str">
        <v>pokemon</v>
      </c>
      <c r="C239" t="str">
        <v>Goldeen</v>
      </c>
      <c r="D239" t="str">
        <v>TWM 44/167</v>
      </c>
      <c r="E239" t="str">
        <v>normal</v>
      </c>
      <c r="F239" t="str">
        <v>HCM</v>
      </c>
      <c r="G239">
        <v>2</v>
      </c>
      <c r="H239">
        <v>4</v>
      </c>
      <c r="K239">
        <f>J239+H239-I239</f>
        <v>4</v>
      </c>
      <c r="L239">
        <f>G239*K239</f>
        <v>8</v>
      </c>
    </row>
    <row r="240">
      <c r="A240" t="str">
        <v>PO-LB-06</v>
      </c>
      <c r="B240" t="str">
        <v>pokemon</v>
      </c>
      <c r="C240" t="str">
        <v>Goldeen</v>
      </c>
      <c r="D240" t="str">
        <v>TWM 44/167</v>
      </c>
      <c r="E240" t="str">
        <v>holo</v>
      </c>
      <c r="F240" t="str">
        <v>HCM</v>
      </c>
      <c r="G240">
        <v>3</v>
      </c>
      <c r="H240">
        <v>2</v>
      </c>
      <c r="K240">
        <f>J240+H240-I240</f>
        <v>2</v>
      </c>
      <c r="L240">
        <f>G240*K240</f>
        <v>6</v>
      </c>
    </row>
    <row r="241">
      <c r="A241" t="str">
        <v>PC-PO-028</v>
      </c>
      <c r="B241" t="str">
        <v>pokemon</v>
      </c>
      <c r="C241" t="str">
        <v>BUDEW</v>
      </c>
      <c r="D241" t="str">
        <v>PRE 004/131</v>
      </c>
      <c r="E241" t="str">
        <v>prize card</v>
      </c>
      <c r="F241" t="str">
        <v>HCM</v>
      </c>
      <c r="G241">
        <v>10</v>
      </c>
      <c r="H241">
        <v>2</v>
      </c>
      <c r="K241">
        <f>J241+H241-I241</f>
        <v>2</v>
      </c>
      <c r="L241">
        <f>G241*K241</f>
        <v>20</v>
      </c>
    </row>
    <row r="242">
      <c r="A242" t="str">
        <v>PO-G-28</v>
      </c>
      <c r="B242" t="str">
        <v>pokemon</v>
      </c>
      <c r="C242" t="str">
        <v>Cynthia's Roserade</v>
      </c>
      <c r="D242" t="str">
        <v>DRI 8/182</v>
      </c>
      <c r="E242" t="str">
        <v>normal</v>
      </c>
      <c r="F242" t="str">
        <v>HCM</v>
      </c>
      <c r="G242">
        <v>6</v>
      </c>
      <c r="H242">
        <v>5</v>
      </c>
      <c r="K242">
        <f>J242+H242-I242</f>
        <v>5</v>
      </c>
      <c r="L242">
        <f>G242*K242</f>
        <v>30</v>
      </c>
    </row>
    <row r="243">
      <c r="A243" t="str">
        <v>PO-G-28</v>
      </c>
      <c r="B243" t="str">
        <v>pokemon</v>
      </c>
      <c r="C243" t="str">
        <v>Cynthia's Roserade</v>
      </c>
      <c r="D243" t="str">
        <v>DRI 8/182</v>
      </c>
      <c r="E243" t="str">
        <v>holo</v>
      </c>
      <c r="F243" t="str">
        <v>HCM</v>
      </c>
      <c r="G243">
        <v>7</v>
      </c>
      <c r="H243">
        <v>3</v>
      </c>
      <c r="K243">
        <f>J243+H243-I243</f>
        <v>3</v>
      </c>
      <c r="L243">
        <f>G243*K243</f>
        <v>21</v>
      </c>
    </row>
    <row r="244">
      <c r="A244" t="str">
        <v>PO-G-27</v>
      </c>
      <c r="B244" t="str">
        <v>pokemon</v>
      </c>
      <c r="C244" t="str">
        <v>Cynthia's Roselia</v>
      </c>
      <c r="D244" t="str">
        <v>DRI 7/182</v>
      </c>
      <c r="E244" t="str">
        <v>normal</v>
      </c>
      <c r="F244" t="str">
        <v>HCM</v>
      </c>
      <c r="G244">
        <v>5</v>
      </c>
      <c r="H244">
        <v>14</v>
      </c>
      <c r="K244">
        <f>J244+H244-I244</f>
        <v>14</v>
      </c>
      <c r="L244">
        <f>G244*K244</f>
        <v>70</v>
      </c>
    </row>
    <row r="245">
      <c r="A245" t="str">
        <v>PO-G-27</v>
      </c>
      <c r="B245" t="str">
        <v>pokemon</v>
      </c>
      <c r="C245" t="str">
        <v>Cynthia's Roselia</v>
      </c>
      <c r="D245" t="str">
        <v>DRI 7/182</v>
      </c>
      <c r="E245" t="str">
        <v>holo</v>
      </c>
      <c r="F245" t="str">
        <v>HCM</v>
      </c>
      <c r="G245">
        <v>5</v>
      </c>
      <c r="H245">
        <v>1</v>
      </c>
      <c r="K245">
        <f>J245+H245-I245</f>
        <v>1</v>
      </c>
      <c r="L245">
        <f>G245*K245</f>
        <v>5</v>
      </c>
    </row>
    <row r="246">
      <c r="A246" t="str">
        <v>PO-Y-10</v>
      </c>
      <c r="B246" t="str">
        <v>pokemon</v>
      </c>
      <c r="C246" t="str">
        <v>Cynthia's Gabite</v>
      </c>
      <c r="D246" t="str">
        <v>DRI 103/182</v>
      </c>
      <c r="E246" t="str">
        <v>normal</v>
      </c>
      <c r="F246" t="str">
        <v>HCM</v>
      </c>
      <c r="G246">
        <v>6</v>
      </c>
      <c r="H246">
        <v>3</v>
      </c>
      <c r="K246">
        <f>J246+H246-I246</f>
        <v>3</v>
      </c>
      <c r="L246">
        <f>G246*K246</f>
        <v>18</v>
      </c>
    </row>
    <row r="247">
      <c r="A247" t="str">
        <v>PO-Y-10</v>
      </c>
      <c r="B247" t="str">
        <v>pokemon</v>
      </c>
      <c r="C247" t="str">
        <v>Cynthia's Gabite</v>
      </c>
      <c r="D247" t="str">
        <v>ASC 110/182</v>
      </c>
      <c r="E247" t="str">
        <v>normal</v>
      </c>
      <c r="F247" t="str">
        <v>HCM</v>
      </c>
      <c r="G247">
        <v>6</v>
      </c>
      <c r="H247">
        <v>3</v>
      </c>
      <c r="K247">
        <f>J247+H247-I247</f>
        <v>3</v>
      </c>
    </row>
    <row r="248">
      <c r="A248" t="str">
        <v>PO-Y-11</v>
      </c>
      <c r="B248" t="str">
        <v>pokemon</v>
      </c>
      <c r="C248" t="str">
        <v>Cynthia's Gible</v>
      </c>
      <c r="D248" t="str">
        <v>DRI 102/182</v>
      </c>
      <c r="E248" t="str">
        <v>normal</v>
      </c>
      <c r="F248" t="str">
        <v>HCM</v>
      </c>
      <c r="G248">
        <v>6</v>
      </c>
      <c r="H248">
        <v>19</v>
      </c>
      <c r="K248">
        <f>J248+H248-I248</f>
        <v>19</v>
      </c>
      <c r="L248">
        <f>G248*K248</f>
        <v>114</v>
      </c>
    </row>
    <row r="249">
      <c r="A249" t="str">
        <v>PO-Y-11</v>
      </c>
      <c r="B249" t="str">
        <v>pokemon</v>
      </c>
      <c r="C249" t="str">
        <v>Cynthia's Gible</v>
      </c>
      <c r="D249" t="str">
        <v>ASC 109/217</v>
      </c>
      <c r="E249" t="str">
        <v>normal</v>
      </c>
      <c r="F249" t="str">
        <v>HCM</v>
      </c>
      <c r="G249">
        <v>6</v>
      </c>
      <c r="H249">
        <v>10</v>
      </c>
      <c r="K249">
        <f>J249+H249-I249</f>
        <v>10</v>
      </c>
    </row>
    <row r="250">
      <c r="A250" t="str">
        <v>PO-DB-15</v>
      </c>
      <c r="B250" t="str">
        <v>pokemon</v>
      </c>
      <c r="C250" t="str">
        <v>Cynthia's SPIRITOMB</v>
      </c>
      <c r="D250" t="str">
        <v>DRI 129/182</v>
      </c>
      <c r="E250" t="str">
        <v>holo</v>
      </c>
      <c r="F250" t="str">
        <v>HCM</v>
      </c>
      <c r="G250">
        <v>5</v>
      </c>
      <c r="H250">
        <v>1</v>
      </c>
      <c r="K250">
        <f>J250+H250-I250</f>
        <v>1</v>
      </c>
      <c r="L250">
        <f>G250*K250</f>
        <v>5</v>
      </c>
    </row>
    <row r="251">
      <c r="A251" t="str">
        <v>PO-DB-15</v>
      </c>
      <c r="B251" t="str">
        <v>pokemon</v>
      </c>
      <c r="C251" t="str">
        <v>Cynthia's SPIRITOMB</v>
      </c>
      <c r="D251" t="str">
        <v>DRI 129/182</v>
      </c>
      <c r="E251" t="str">
        <v>normal</v>
      </c>
      <c r="F251" t="str">
        <v>HCM</v>
      </c>
      <c r="G251">
        <v>4</v>
      </c>
      <c r="H251">
        <v>15</v>
      </c>
      <c r="K251">
        <f>J251+H251-I251</f>
        <v>15</v>
      </c>
      <c r="L251">
        <f>G251*K251</f>
        <v>60</v>
      </c>
    </row>
    <row r="252">
      <c r="A252" t="str">
        <v>PO-DB-15</v>
      </c>
      <c r="B252" t="str">
        <v>pokemon</v>
      </c>
      <c r="C252" t="str">
        <v>Cynthia's SPIRITOMB</v>
      </c>
      <c r="D252" t="str">
        <v>ASC 133/217</v>
      </c>
      <c r="E252" t="str">
        <v>normal</v>
      </c>
      <c r="F252" t="str">
        <v>HCM</v>
      </c>
      <c r="G252">
        <v>4</v>
      </c>
      <c r="H252">
        <v>9</v>
      </c>
      <c r="K252">
        <f>J252+H252-I252</f>
        <v>9</v>
      </c>
      <c r="L252">
        <f>G252*K252</f>
        <v>36</v>
      </c>
    </row>
    <row r="253">
      <c r="A253" t="str">
        <v>PO-G-11</v>
      </c>
      <c r="B253" t="str">
        <v>pokemon</v>
      </c>
      <c r="C253" t="str">
        <v>DWEBBLE</v>
      </c>
      <c r="D253" t="str">
        <v>DRI 11/182</v>
      </c>
      <c r="E253" t="str">
        <v>normal</v>
      </c>
      <c r="F253" t="str">
        <v>HCM</v>
      </c>
      <c r="G253">
        <v>3</v>
      </c>
      <c r="H253">
        <v>10</v>
      </c>
      <c r="K253">
        <f>J253+H253-I253</f>
        <v>10</v>
      </c>
      <c r="L253">
        <f>G253*K253</f>
        <v>30</v>
      </c>
    </row>
    <row r="254">
      <c r="A254" t="str">
        <v>PO-G-11</v>
      </c>
      <c r="B254" t="str">
        <v>pokemon</v>
      </c>
      <c r="C254" t="str">
        <v>DWEBBLE</v>
      </c>
      <c r="D254" t="str">
        <v>DRI 11/182</v>
      </c>
      <c r="E254" t="str">
        <v>holo</v>
      </c>
      <c r="F254" t="str">
        <v>HCM</v>
      </c>
      <c r="G254">
        <v>5</v>
      </c>
      <c r="H254">
        <v>7</v>
      </c>
      <c r="K254">
        <f>J254+H254-I254</f>
        <v>7</v>
      </c>
      <c r="L254">
        <f>G254*K254</f>
        <v>35</v>
      </c>
    </row>
    <row r="255">
      <c r="A255" t="str">
        <v>PO-G-08</v>
      </c>
      <c r="B255" t="str">
        <v>pokemon</v>
      </c>
      <c r="C255" t="str">
        <v xml:space="preserve">Crustle </v>
      </c>
      <c r="D255" t="str">
        <v>DRI 12/182</v>
      </c>
      <c r="E255" t="str">
        <v>normal</v>
      </c>
      <c r="F255" t="str">
        <v>HCM</v>
      </c>
      <c r="G255">
        <v>5</v>
      </c>
      <c r="H255">
        <v>11</v>
      </c>
      <c r="K255">
        <f>J255+H255-I255</f>
        <v>11</v>
      </c>
      <c r="L255">
        <f>G255*K255</f>
        <v>55</v>
      </c>
    </row>
    <row r="256">
      <c r="A256" t="str">
        <v>PO-G-08</v>
      </c>
      <c r="B256" t="str">
        <v>pokemon</v>
      </c>
      <c r="C256" t="str">
        <v xml:space="preserve">Crustle </v>
      </c>
      <c r="D256" t="str">
        <v>DRI 12/182</v>
      </c>
      <c r="E256" t="str">
        <v>holo</v>
      </c>
      <c r="F256" t="str">
        <v>HCM</v>
      </c>
      <c r="G256">
        <v>6</v>
      </c>
      <c r="H256">
        <v>2</v>
      </c>
      <c r="K256">
        <f>J256+H256-I256</f>
        <v>2</v>
      </c>
      <c r="L256">
        <f>G256*K256</f>
        <v>12</v>
      </c>
    </row>
    <row r="257">
      <c r="A257" t="str">
        <v>PO-G-25</v>
      </c>
      <c r="B257" t="str">
        <v>pokemon</v>
      </c>
      <c r="C257" t="str">
        <v>Team Rocket's Spidos</v>
      </c>
      <c r="D257" t="str">
        <v>ASC 19/217</v>
      </c>
      <c r="E257" t="str">
        <v>normal</v>
      </c>
      <c r="F257" t="str">
        <v>HCM</v>
      </c>
      <c r="G257">
        <v>7</v>
      </c>
      <c r="H257">
        <v>4</v>
      </c>
      <c r="K257">
        <f>J257+H257-I257</f>
        <v>4</v>
      </c>
      <c r="L257">
        <f>G257*K257</f>
        <v>28</v>
      </c>
    </row>
    <row r="258">
      <c r="A258" t="str">
        <v>PO-G-25</v>
      </c>
      <c r="B258" t="str">
        <v>pokemon</v>
      </c>
      <c r="C258" t="str">
        <v>Team Rocket's Spidos</v>
      </c>
      <c r="D258" t="str">
        <v>DRI 20/182</v>
      </c>
      <c r="E258" t="str">
        <v>normal</v>
      </c>
      <c r="F258" t="str">
        <v>HCM</v>
      </c>
      <c r="G258">
        <v>7</v>
      </c>
      <c r="H258">
        <v>14</v>
      </c>
      <c r="K258">
        <f>J258+H258-I258</f>
        <v>14</v>
      </c>
      <c r="L258">
        <f>G258*K258</f>
        <v>98</v>
      </c>
    </row>
    <row r="259">
      <c r="A259" t="str">
        <v>PO-G-18</v>
      </c>
      <c r="B259" t="str">
        <v>pokemon</v>
      </c>
      <c r="C259" t="str">
        <v>Team Rocket's Tarountula</v>
      </c>
      <c r="D259" t="str">
        <v>DRI 19/162</v>
      </c>
      <c r="E259" t="str">
        <v>normal</v>
      </c>
      <c r="F259" t="str">
        <v>HCM</v>
      </c>
      <c r="G259">
        <v>5</v>
      </c>
      <c r="H259">
        <v>17</v>
      </c>
      <c r="K259">
        <f>J259+H259-I259</f>
        <v>17</v>
      </c>
      <c r="L259">
        <f>G259*K259</f>
        <v>85</v>
      </c>
    </row>
    <row r="260">
      <c r="A260" t="str">
        <v>PO-G-18</v>
      </c>
      <c r="B260" t="str">
        <v>pokemon</v>
      </c>
      <c r="C260" t="str">
        <v>Team Rocket's Tarountula</v>
      </c>
      <c r="D260" t="str">
        <v>DRI 19/162</v>
      </c>
      <c r="E260" t="str">
        <v>holo</v>
      </c>
      <c r="F260" t="str">
        <v>HCM</v>
      </c>
      <c r="G260">
        <v>7</v>
      </c>
      <c r="H260">
        <v>6</v>
      </c>
      <c r="K260">
        <f>J260+H260-I260</f>
        <v>6</v>
      </c>
      <c r="L260">
        <f>G260*K260</f>
        <v>42</v>
      </c>
    </row>
    <row r="261">
      <c r="A261" t="str">
        <v>PO-Y-03</v>
      </c>
      <c r="B261" t="str">
        <v>pokemon</v>
      </c>
      <c r="C261" t="str">
        <v>Drakloak</v>
      </c>
      <c r="D261" t="str">
        <v>PRE 72/131</v>
      </c>
      <c r="E261" t="str">
        <v>normal</v>
      </c>
      <c r="F261" t="str">
        <v>HCM</v>
      </c>
      <c r="G261">
        <v>4</v>
      </c>
      <c r="H261">
        <v>18</v>
      </c>
      <c r="K261">
        <f>J261+H261-I261</f>
        <v>18</v>
      </c>
      <c r="L261">
        <f>G261*K261</f>
        <v>72</v>
      </c>
    </row>
    <row r="262">
      <c r="A262" t="str">
        <v>PO-Y-03</v>
      </c>
      <c r="B262" t="str">
        <v>pokemon</v>
      </c>
      <c r="C262" t="str">
        <v>Drakloak</v>
      </c>
      <c r="D262" t="str">
        <v>PRE 72/131</v>
      </c>
      <c r="E262" t="str">
        <v>holo</v>
      </c>
      <c r="F262" t="str">
        <v>HCM</v>
      </c>
      <c r="G262">
        <v>6</v>
      </c>
      <c r="H262">
        <v>4</v>
      </c>
      <c r="K262">
        <f>J262+H262-I262</f>
        <v>4</v>
      </c>
      <c r="L262">
        <f>G262*K262</f>
        <v>24</v>
      </c>
    </row>
    <row r="263">
      <c r="A263" t="str">
        <v>PO-Y-03</v>
      </c>
      <c r="B263" t="str">
        <v>pokemon</v>
      </c>
      <c r="C263" t="str">
        <v>Drakloak</v>
      </c>
      <c r="D263" t="str">
        <v>PRE 72/131</v>
      </c>
      <c r="E263" t="str">
        <v>ball</v>
      </c>
      <c r="F263" t="str">
        <v>HCM</v>
      </c>
      <c r="G263">
        <v>13</v>
      </c>
      <c r="H263">
        <v>2</v>
      </c>
      <c r="K263">
        <f>J263+H263-I263</f>
        <v>2</v>
      </c>
      <c r="L263">
        <f>G263*K263</f>
        <v>26</v>
      </c>
    </row>
    <row r="264">
      <c r="A264" t="str">
        <v>PO-Y-03</v>
      </c>
      <c r="B264" t="str">
        <v>pokemon</v>
      </c>
      <c r="C264" t="str">
        <v>Drakloak</v>
      </c>
      <c r="D264" t="str">
        <v>TWM 129/167</v>
      </c>
      <c r="E264" t="str">
        <v>normal</v>
      </c>
      <c r="F264" t="str">
        <v>HCM</v>
      </c>
      <c r="G264">
        <v>6</v>
      </c>
      <c r="H264">
        <v>6</v>
      </c>
      <c r="K264">
        <f>J264+H264-I264</f>
        <v>6</v>
      </c>
      <c r="L264">
        <f>G264*K264</f>
        <v>36</v>
      </c>
    </row>
    <row r="265">
      <c r="A265" t="str">
        <v>PO-Y-03</v>
      </c>
      <c r="B265" t="str">
        <v>pokemon</v>
      </c>
      <c r="C265" t="str">
        <v>Drakloak</v>
      </c>
      <c r="D265" t="str">
        <v>ASC 159/217</v>
      </c>
      <c r="E265" t="str">
        <v>normal</v>
      </c>
      <c r="F265" t="str">
        <v>HCM</v>
      </c>
      <c r="G265">
        <v>4</v>
      </c>
      <c r="H265">
        <v>6</v>
      </c>
      <c r="K265">
        <f>J265+H265-I265</f>
        <v>6</v>
      </c>
      <c r="L265">
        <f>G265*K265</f>
        <v>24</v>
      </c>
    </row>
    <row r="266">
      <c r="A266" t="str">
        <v>PO-Y-04</v>
      </c>
      <c r="B266" t="str">
        <v>pokemon</v>
      </c>
      <c r="C266" t="str">
        <v>Dreepy</v>
      </c>
      <c r="D266" t="str">
        <v>PRE 71/131</v>
      </c>
      <c r="E266" t="str">
        <v>normal</v>
      </c>
      <c r="F266" t="str">
        <v>HCM</v>
      </c>
      <c r="G266">
        <v>4</v>
      </c>
      <c r="H266">
        <v>10</v>
      </c>
      <c r="K266">
        <f>J266+H266-I266</f>
        <v>10</v>
      </c>
      <c r="L266">
        <f>G266*K266</f>
        <v>40</v>
      </c>
    </row>
    <row r="267">
      <c r="A267" t="str">
        <v>PO-Y-04</v>
      </c>
      <c r="B267" t="str">
        <v>pokemon</v>
      </c>
      <c r="C267" t="str">
        <v>Dreepy</v>
      </c>
      <c r="D267" t="str">
        <v>PRE 71/131</v>
      </c>
      <c r="E267" t="str">
        <v>holo</v>
      </c>
      <c r="F267" t="str">
        <v>HCM</v>
      </c>
      <c r="G267">
        <v>4</v>
      </c>
      <c r="H267">
        <v>1</v>
      </c>
      <c r="K267">
        <f>J267+H267-I267</f>
        <v>1</v>
      </c>
    </row>
    <row r="268">
      <c r="A268" t="str">
        <v>PO-Y-04</v>
      </c>
      <c r="B268" t="str">
        <v>pokemon</v>
      </c>
      <c r="C268" t="str">
        <v>Dreepy</v>
      </c>
      <c r="D268" t="str">
        <v>TWM 128/167</v>
      </c>
      <c r="E268" t="str">
        <v>normal</v>
      </c>
      <c r="F268" t="str">
        <v>HCM</v>
      </c>
      <c r="G268">
        <v>6</v>
      </c>
      <c r="H268">
        <v>8</v>
      </c>
      <c r="K268">
        <f>J268+H268-I268</f>
        <v>8</v>
      </c>
      <c r="L268">
        <f>G268*K268</f>
        <v>48</v>
      </c>
    </row>
    <row r="269">
      <c r="A269" t="str">
        <v>PO-Y-04</v>
      </c>
      <c r="B269" t="str">
        <v>pokemon</v>
      </c>
      <c r="C269" t="str">
        <v>Dreepy</v>
      </c>
      <c r="D269" t="str">
        <v>TWM 128/167</v>
      </c>
      <c r="E269" t="str">
        <v>holo</v>
      </c>
      <c r="F269" t="str">
        <v>HCM</v>
      </c>
      <c r="G269">
        <v>7</v>
      </c>
      <c r="H269">
        <v>1</v>
      </c>
      <c r="K269">
        <f>J269+H269-I269</f>
        <v>1</v>
      </c>
      <c r="L269">
        <f>G269*K269</f>
        <v>7</v>
      </c>
    </row>
    <row r="270">
      <c r="A270" t="str">
        <v>PO-Y-04</v>
      </c>
      <c r="B270" t="str">
        <v>pokemon</v>
      </c>
      <c r="C270" t="str">
        <v>Dreepy</v>
      </c>
      <c r="D270" t="str">
        <v>ASC 158/217</v>
      </c>
      <c r="E270" t="str">
        <v>normal</v>
      </c>
      <c r="F270" t="str">
        <v>HCM</v>
      </c>
      <c r="G270">
        <v>4</v>
      </c>
      <c r="H270">
        <v>11</v>
      </c>
      <c r="K270">
        <f>J270+H270-I270</f>
        <v>11</v>
      </c>
      <c r="L270">
        <f>G270*K270</f>
        <v>44</v>
      </c>
    </row>
    <row r="271">
      <c r="A271" t="str">
        <v>PO-LB-02</v>
      </c>
      <c r="B271" t="str">
        <v>pokemon</v>
      </c>
      <c r="C271" t="str">
        <v>Chien Pao</v>
      </c>
      <c r="D271" t="str">
        <v>SSP 56/191</v>
      </c>
      <c r="E271" t="str">
        <v>normal</v>
      </c>
      <c r="F271" t="str">
        <v>HCM</v>
      </c>
      <c r="G271">
        <v>5</v>
      </c>
      <c r="H271">
        <v>9</v>
      </c>
      <c r="K271">
        <f>J271+H271-I271</f>
        <v>9</v>
      </c>
      <c r="L271">
        <f>G271*K271</f>
        <v>45</v>
      </c>
    </row>
    <row r="272">
      <c r="A272" t="str">
        <v>PO-LB-05</v>
      </c>
      <c r="B272" t="str">
        <v>pokemon</v>
      </c>
      <c r="C272" t="str">
        <v>Froslass</v>
      </c>
      <c r="D272" t="str">
        <v>TWM 53/167</v>
      </c>
      <c r="E272" t="str">
        <v>normal</v>
      </c>
      <c r="F272" t="str">
        <v>HCM</v>
      </c>
      <c r="G272">
        <v>7</v>
      </c>
      <c r="H272">
        <v>4</v>
      </c>
      <c r="K272">
        <f>J272+H272-I272</f>
        <v>4</v>
      </c>
      <c r="L272">
        <f>G272*K272</f>
        <v>28</v>
      </c>
    </row>
    <row r="273">
      <c r="A273" t="str">
        <v>PC-PO-030</v>
      </c>
      <c r="B273" t="str">
        <v>pokemon</v>
      </c>
      <c r="C273" t="str">
        <v>Froslass</v>
      </c>
      <c r="D273" t="str">
        <v>TWM 53/167</v>
      </c>
      <c r="E273" t="str">
        <v>prize card</v>
      </c>
      <c r="F273" t="str">
        <v>HCM</v>
      </c>
      <c r="G273">
        <v>7</v>
      </c>
      <c r="H273">
        <v>2</v>
      </c>
      <c r="K273">
        <f>J273+H273-I273</f>
        <v>2</v>
      </c>
      <c r="L273">
        <f>G273*K273</f>
        <v>14</v>
      </c>
    </row>
    <row r="274">
      <c r="A274" t="str">
        <v>PO-DB-07</v>
      </c>
      <c r="B274" t="str">
        <v>pokemon</v>
      </c>
      <c r="C274" t="str">
        <v xml:space="preserve">Marnie's Morgrem </v>
      </c>
      <c r="D274" t="str">
        <v xml:space="preserve">DRI 135/182 </v>
      </c>
      <c r="E274" t="str">
        <v>normal</v>
      </c>
      <c r="F274" t="str">
        <v>HCM</v>
      </c>
      <c r="G274">
        <v>4</v>
      </c>
      <c r="H274">
        <v>18</v>
      </c>
      <c r="K274">
        <f>J274+H274-I274</f>
        <v>18</v>
      </c>
      <c r="L274">
        <f>G274*K274</f>
        <v>72</v>
      </c>
    </row>
    <row r="275">
      <c r="A275" t="str">
        <v>PO-DB-07</v>
      </c>
      <c r="B275" t="str">
        <v>pokemon</v>
      </c>
      <c r="C275" t="str">
        <v xml:space="preserve">Marnie's Morgrem </v>
      </c>
      <c r="D275" t="str">
        <v xml:space="preserve">DRI 135/182 </v>
      </c>
      <c r="E275" t="str">
        <v>holo</v>
      </c>
      <c r="F275" t="str">
        <v>HCM</v>
      </c>
      <c r="G275">
        <v>5</v>
      </c>
      <c r="H275">
        <v>2</v>
      </c>
      <c r="K275">
        <f>J275+H275-I275</f>
        <v>2</v>
      </c>
      <c r="L275">
        <f>G275*K275</f>
        <v>10</v>
      </c>
    </row>
    <row r="276">
      <c r="A276" t="str">
        <v>PO-DB-05</v>
      </c>
      <c r="B276" t="str">
        <v>pokemon</v>
      </c>
      <c r="C276" t="str">
        <v>Marnie's Impidimp</v>
      </c>
      <c r="D276" t="str">
        <v>DRI 134/182</v>
      </c>
      <c r="E276" t="str">
        <v>normal</v>
      </c>
      <c r="F276" t="str">
        <v>HCM</v>
      </c>
      <c r="G276">
        <v>3</v>
      </c>
      <c r="H276">
        <v>18</v>
      </c>
      <c r="K276">
        <f>J276+H276-I276</f>
        <v>18</v>
      </c>
      <c r="L276">
        <f>G276*K276</f>
        <v>54</v>
      </c>
    </row>
    <row r="277">
      <c r="A277" t="str">
        <v>PO-DB-05</v>
      </c>
      <c r="B277" t="str">
        <v>pokemon</v>
      </c>
      <c r="C277" t="str">
        <v>Marnie's Impidimp</v>
      </c>
      <c r="D277" t="str">
        <v>DRI 134/182</v>
      </c>
      <c r="E277" t="str">
        <v>holo</v>
      </c>
      <c r="F277" t="str">
        <v>HCM</v>
      </c>
      <c r="G277">
        <v>4</v>
      </c>
      <c r="H277">
        <v>1</v>
      </c>
      <c r="K277">
        <f>J277+H277-I277</f>
        <v>1</v>
      </c>
      <c r="L277">
        <f>G277*K277</f>
        <v>4</v>
      </c>
    </row>
    <row r="278">
      <c r="A278" t="str">
        <v>PO-G-13</v>
      </c>
      <c r="B278" t="str">
        <v>pokemon</v>
      </c>
      <c r="C278" t="str">
        <v>Genesect</v>
      </c>
      <c r="D278" t="str">
        <v>PFL 8/94</v>
      </c>
      <c r="E278" t="str">
        <v>normal</v>
      </c>
      <c r="F278" t="str">
        <v>HCM</v>
      </c>
      <c r="G278">
        <v>5</v>
      </c>
      <c r="H278">
        <v>18</v>
      </c>
      <c r="K278">
        <f>J278+H278-I278</f>
        <v>18</v>
      </c>
      <c r="L278">
        <f>G278*K278</f>
        <v>90</v>
      </c>
    </row>
    <row r="279">
      <c r="A279" t="str">
        <v>PO-G-17</v>
      </c>
      <c r="B279" t="str">
        <v>pokemon</v>
      </c>
      <c r="C279" t="str">
        <v>Meganium</v>
      </c>
      <c r="D279" t="str">
        <v>MEG 10/132</v>
      </c>
      <c r="E279" t="str">
        <v>holo</v>
      </c>
      <c r="F279" t="str">
        <v>HCM</v>
      </c>
      <c r="G279">
        <v>7</v>
      </c>
      <c r="H279">
        <v>11</v>
      </c>
      <c r="K279">
        <f>J279+H279-I279</f>
        <v>11</v>
      </c>
      <c r="L279">
        <f>G279*K279</f>
        <v>77</v>
      </c>
    </row>
    <row r="280">
      <c r="A280" t="str">
        <v>PO-G-03</v>
      </c>
      <c r="B280" t="str">
        <v>pokemon</v>
      </c>
      <c r="C280" t="str">
        <v>Bayleaf</v>
      </c>
      <c r="D280" t="str">
        <v>ASC 009/132</v>
      </c>
      <c r="E280" t="str">
        <v>normal</v>
      </c>
      <c r="F280" t="str">
        <v>HCM</v>
      </c>
      <c r="G280">
        <v>6</v>
      </c>
      <c r="H280">
        <v>9</v>
      </c>
      <c r="K280">
        <f>J280+H280-I280</f>
        <v>9</v>
      </c>
      <c r="L280">
        <f>G280*K280</f>
        <v>54</v>
      </c>
    </row>
    <row r="281">
      <c r="A281" t="str">
        <v>PO-G-03</v>
      </c>
      <c r="B281" t="str">
        <v>pokemon</v>
      </c>
      <c r="C281" t="str">
        <v>Bayleaf</v>
      </c>
      <c r="D281" t="str">
        <v>MEG 9/132</v>
      </c>
      <c r="E281" t="str">
        <v>holo</v>
      </c>
      <c r="F281" t="str">
        <v>HCM</v>
      </c>
      <c r="G281">
        <v>7</v>
      </c>
      <c r="H281">
        <v>2</v>
      </c>
      <c r="K281">
        <f>J281+H281-I281</f>
        <v>2</v>
      </c>
      <c r="L281">
        <f>G281*K281</f>
        <v>14</v>
      </c>
    </row>
    <row r="282">
      <c r="A282" t="str">
        <v>PO-G-14</v>
      </c>
      <c r="B282" t="str">
        <v>pokemon</v>
      </c>
      <c r="C282" t="str">
        <v>Ivysaur</v>
      </c>
      <c r="D282" t="str">
        <v>MEG 2/132</v>
      </c>
      <c r="E282" t="str">
        <v>normal</v>
      </c>
      <c r="F282" t="str">
        <v>HCM</v>
      </c>
      <c r="G282">
        <v>6</v>
      </c>
      <c r="H282">
        <v>1</v>
      </c>
      <c r="K282">
        <f>J282+H282-I282</f>
        <v>1</v>
      </c>
      <c r="L282">
        <f>G282*K282</f>
        <v>6</v>
      </c>
    </row>
    <row r="283">
      <c r="A283" t="str">
        <v>PO-G-05</v>
      </c>
      <c r="B283" t="str">
        <v>pokemon</v>
      </c>
      <c r="C283" t="str">
        <v xml:space="preserve">Bulbasaur </v>
      </c>
      <c r="D283" t="str">
        <v>MEG 1/132</v>
      </c>
      <c r="E283" t="str">
        <v>holo</v>
      </c>
      <c r="F283" t="str">
        <v>HCM</v>
      </c>
      <c r="G283">
        <v>7</v>
      </c>
      <c r="H283">
        <v>2</v>
      </c>
      <c r="K283">
        <f>J283+H283-I283</f>
        <v>2</v>
      </c>
      <c r="L283">
        <f>G283*K283</f>
        <v>14</v>
      </c>
    </row>
    <row r="284">
      <c r="A284" t="str">
        <v>PO-G-05</v>
      </c>
      <c r="B284" t="str">
        <v>pokemon</v>
      </c>
      <c r="C284" t="str">
        <v xml:space="preserve">Bulbasaur </v>
      </c>
      <c r="D284" t="str">
        <v>MEG 1/132</v>
      </c>
      <c r="E284" t="str">
        <v>normal</v>
      </c>
      <c r="F284" t="str">
        <v>HCM</v>
      </c>
      <c r="G284">
        <v>6</v>
      </c>
      <c r="H284">
        <v>6</v>
      </c>
      <c r="K284">
        <f>J284+H284-I284</f>
        <v>6</v>
      </c>
      <c r="L284">
        <f>G284*K284</f>
        <v>36</v>
      </c>
    </row>
    <row r="285">
      <c r="A285" t="str">
        <v>PO-R-03</v>
      </c>
      <c r="B285" t="str">
        <v>pokemon</v>
      </c>
      <c r="C285" t="str">
        <v>Charmeleon</v>
      </c>
      <c r="D285" t="str">
        <v>PFL 12/94</v>
      </c>
      <c r="E285" t="str">
        <v>normal</v>
      </c>
      <c r="F285" t="str">
        <v>HCM</v>
      </c>
      <c r="G285">
        <v>5</v>
      </c>
      <c r="H285">
        <v>21</v>
      </c>
      <c r="K285">
        <f>J285+H285-I285</f>
        <v>21</v>
      </c>
      <c r="L285">
        <f>G285*K285</f>
        <v>105</v>
      </c>
    </row>
    <row r="286">
      <c r="A286" t="str">
        <v>PO-R-03</v>
      </c>
      <c r="B286" t="str">
        <v>pokemon</v>
      </c>
      <c r="C286" t="str">
        <v>Charmeleon</v>
      </c>
      <c r="D286" t="str">
        <v>PFL 12/94</v>
      </c>
      <c r="E286" t="str">
        <v>holo</v>
      </c>
      <c r="F286" t="str">
        <v>HCM</v>
      </c>
      <c r="G286">
        <v>6</v>
      </c>
      <c r="H286">
        <v>8</v>
      </c>
      <c r="K286">
        <f>J286+H286-I286</f>
        <v>8</v>
      </c>
      <c r="L286">
        <f>G286*K286</f>
        <v>48</v>
      </c>
    </row>
    <row r="287">
      <c r="A287" t="str">
        <v>PO-R-04</v>
      </c>
      <c r="B287" t="str">
        <v>pokemon</v>
      </c>
      <c r="C287" t="str">
        <v>Charmander</v>
      </c>
      <c r="D287" t="str">
        <v>PFL 11/94</v>
      </c>
      <c r="E287" t="str">
        <v>normal</v>
      </c>
      <c r="F287" t="str">
        <v>HCM</v>
      </c>
      <c r="G287">
        <v>5</v>
      </c>
      <c r="H287">
        <v>27</v>
      </c>
      <c r="K287">
        <f>J287+H287-I287</f>
        <v>27</v>
      </c>
      <c r="L287">
        <f>G287*K287</f>
        <v>135</v>
      </c>
    </row>
    <row r="288">
      <c r="A288" t="str">
        <v>PO-R-04</v>
      </c>
      <c r="B288" t="str">
        <v>pokemon</v>
      </c>
      <c r="C288" t="str">
        <v>Charmander</v>
      </c>
      <c r="D288" t="str">
        <v>PFL 11/94</v>
      </c>
      <c r="E288" t="str">
        <v>holo</v>
      </c>
      <c r="F288" t="str">
        <v>HCM</v>
      </c>
      <c r="G288">
        <v>6</v>
      </c>
      <c r="H288">
        <v>4</v>
      </c>
      <c r="K288">
        <f>J288+H288-I288</f>
        <v>4</v>
      </c>
      <c r="L288">
        <f>G288*K288</f>
        <v>24</v>
      </c>
    </row>
    <row r="289">
      <c r="A289" t="str">
        <v>PO-R-04</v>
      </c>
      <c r="B289" t="str">
        <v>pokemon</v>
      </c>
      <c r="C289" t="str">
        <v>Charmander</v>
      </c>
      <c r="D289" t="str">
        <v>ASC 020/217</v>
      </c>
      <c r="E289" t="str">
        <v>holo</v>
      </c>
      <c r="F289" t="str">
        <v>HCM</v>
      </c>
      <c r="G289">
        <v>6</v>
      </c>
      <c r="H289">
        <v>1</v>
      </c>
      <c r="K289">
        <f>J289+H289-I289</f>
        <v>1</v>
      </c>
      <c r="L289">
        <f>G289*K289</f>
        <v>6</v>
      </c>
    </row>
    <row r="290">
      <c r="A290" t="str">
        <v>PO-R-04</v>
      </c>
      <c r="B290" t="str">
        <v>pokemon</v>
      </c>
      <c r="C290" t="str">
        <v>Charmander</v>
      </c>
      <c r="D290" t="str">
        <v>MEW 004/165</v>
      </c>
      <c r="E290" t="str">
        <v>normal</v>
      </c>
      <c r="F290" t="str">
        <v>HCM</v>
      </c>
      <c r="G290">
        <v>3</v>
      </c>
      <c r="H290">
        <v>2</v>
      </c>
      <c r="K290">
        <f>J290+H290-I290</f>
        <v>2</v>
      </c>
      <c r="L290">
        <f>G290*K290</f>
        <v>6</v>
      </c>
    </row>
    <row r="291">
      <c r="A291" t="str">
        <v>PO-Y-06B</v>
      </c>
      <c r="B291" t="str">
        <v>pokemon</v>
      </c>
      <c r="C291" t="str">
        <v xml:space="preserve">Electrike </v>
      </c>
      <c r="D291" t="str">
        <v>MEG 49/132</v>
      </c>
      <c r="E291" t="str">
        <v>holo</v>
      </c>
      <c r="F291" t="str">
        <v>HCM</v>
      </c>
      <c r="G291">
        <v>3</v>
      </c>
      <c r="H291">
        <v>3</v>
      </c>
      <c r="K291">
        <f>J291+H291-I291</f>
        <v>3</v>
      </c>
      <c r="L291">
        <f>G291*K291</f>
        <v>9</v>
      </c>
    </row>
    <row r="292">
      <c r="A292" t="str">
        <v>PO-G-04</v>
      </c>
      <c r="B292" t="str">
        <v>pokemon</v>
      </c>
      <c r="C292" t="str">
        <v>Budew</v>
      </c>
      <c r="D292" t="str">
        <v>PRE 4/131</v>
      </c>
      <c r="E292" t="str">
        <v>normal</v>
      </c>
      <c r="F292" t="str">
        <v>HCM</v>
      </c>
      <c r="G292">
        <v>4</v>
      </c>
      <c r="H292">
        <v>16</v>
      </c>
      <c r="K292">
        <f>J292+H292-I292</f>
        <v>16</v>
      </c>
      <c r="L292">
        <f>G292*K292</f>
        <v>64</v>
      </c>
    </row>
    <row r="293">
      <c r="A293" t="str">
        <v>PO-G-04</v>
      </c>
      <c r="B293" t="str">
        <v>pokemon</v>
      </c>
      <c r="C293" t="str">
        <v>Budew</v>
      </c>
      <c r="D293" t="str">
        <v>ASC 016/217</v>
      </c>
      <c r="E293" t="str">
        <v>normal</v>
      </c>
      <c r="F293" t="str">
        <v>HCM</v>
      </c>
      <c r="G293">
        <v>4</v>
      </c>
      <c r="H293">
        <v>10</v>
      </c>
    </row>
    <row r="294">
      <c r="A294" t="str">
        <v>PO-G-04</v>
      </c>
      <c r="B294" t="str">
        <v>pokemon</v>
      </c>
      <c r="C294" t="str">
        <v>Budew</v>
      </c>
      <c r="D294" t="str">
        <v>PRE 4/131</v>
      </c>
      <c r="E294" t="str">
        <v>holo</v>
      </c>
      <c r="F294" t="str">
        <v>HCM</v>
      </c>
      <c r="G294">
        <v>6</v>
      </c>
      <c r="H294">
        <v>4</v>
      </c>
      <c r="K294">
        <f>J294+H294-I294</f>
        <v>4</v>
      </c>
      <c r="L294">
        <f>G294*K294</f>
        <v>24</v>
      </c>
    </row>
    <row r="295">
      <c r="A295" t="str">
        <v>PO-G-04</v>
      </c>
      <c r="B295" t="str">
        <v>pokemon</v>
      </c>
      <c r="C295" t="str">
        <v>Budew</v>
      </c>
      <c r="D295" t="str">
        <v>PRE 4/131</v>
      </c>
      <c r="E295" t="str">
        <v>ball</v>
      </c>
      <c r="F295" t="str">
        <v>HCM</v>
      </c>
      <c r="G295">
        <v>20</v>
      </c>
      <c r="H295">
        <v>2</v>
      </c>
      <c r="K295">
        <f>J295+H295-I295</f>
        <v>2</v>
      </c>
      <c r="L295">
        <f>G295*K295</f>
        <v>40</v>
      </c>
    </row>
    <row r="296">
      <c r="A296" t="str">
        <v>PO-W-01</v>
      </c>
      <c r="B296" t="str">
        <v>pokemon</v>
      </c>
      <c r="C296" t="str">
        <v>Bouffalant</v>
      </c>
      <c r="D296" t="str">
        <v>SCR 119/142</v>
      </c>
      <c r="E296" t="str">
        <v>normal</v>
      </c>
      <c r="F296" t="str">
        <v>HCM</v>
      </c>
      <c r="G296">
        <v>6</v>
      </c>
      <c r="H296">
        <v>9</v>
      </c>
      <c r="J296">
        <v>3</v>
      </c>
      <c r="K296">
        <f>J296+H296-I296</f>
        <v>12</v>
      </c>
      <c r="L296">
        <f>G296*K296</f>
        <v>72</v>
      </c>
    </row>
    <row r="297">
      <c r="A297" t="str">
        <v>PO-W-01</v>
      </c>
      <c r="B297" t="str">
        <v>pokemon</v>
      </c>
      <c r="C297" t="str">
        <v>Bouffalant</v>
      </c>
      <c r="D297" t="str">
        <v>SCR 119/142</v>
      </c>
      <c r="E297" t="str">
        <v>holo</v>
      </c>
      <c r="F297" t="str">
        <v>HCM</v>
      </c>
      <c r="G297">
        <v>7</v>
      </c>
      <c r="H297">
        <v>2</v>
      </c>
      <c r="J297">
        <v>1</v>
      </c>
      <c r="K297">
        <f>J297+H297-I297</f>
        <v>3</v>
      </c>
      <c r="L297">
        <f>G297*K297</f>
        <v>21</v>
      </c>
    </row>
    <row r="298">
      <c r="A298" t="str">
        <v>PO-DB-12</v>
      </c>
      <c r="B298" t="str">
        <v>pokemon</v>
      </c>
      <c r="C298" t="str">
        <v>TOXEL</v>
      </c>
      <c r="D298" t="str">
        <v>PFL 67/94</v>
      </c>
      <c r="E298" t="str">
        <v>normal</v>
      </c>
      <c r="F298" t="str">
        <v>HCM</v>
      </c>
      <c r="G298">
        <v>4</v>
      </c>
      <c r="H298">
        <v>16</v>
      </c>
      <c r="K298">
        <f>J298+H298-I298</f>
        <v>16</v>
      </c>
      <c r="L298">
        <f>G298*K298</f>
        <v>64</v>
      </c>
    </row>
    <row r="299">
      <c r="A299" t="str">
        <v>PO-DB-12</v>
      </c>
      <c r="B299" t="str">
        <v>pokemon</v>
      </c>
      <c r="C299" t="str">
        <v>TOXEL</v>
      </c>
      <c r="D299" t="str">
        <v>PFL 67/94</v>
      </c>
      <c r="E299" t="str">
        <v>holo</v>
      </c>
      <c r="F299" t="str">
        <v>HCM</v>
      </c>
      <c r="G299">
        <v>5</v>
      </c>
      <c r="H299">
        <v>4</v>
      </c>
      <c r="K299">
        <f>J299+H299-I299</f>
        <v>4</v>
      </c>
      <c r="L299">
        <f>G299*K299</f>
        <v>20</v>
      </c>
    </row>
    <row r="300">
      <c r="A300" t="str">
        <v>PO-DB-13</v>
      </c>
      <c r="B300" t="str">
        <v>pokemon</v>
      </c>
      <c r="C300" t="str">
        <v>Toxtricity</v>
      </c>
      <c r="D300" t="str">
        <v>PFL 68/94</v>
      </c>
      <c r="E300" t="str">
        <v>normal</v>
      </c>
      <c r="F300" t="str">
        <v>HCM</v>
      </c>
      <c r="G300">
        <v>3</v>
      </c>
      <c r="H300">
        <v>1</v>
      </c>
      <c r="K300">
        <f>J300+H300-I300</f>
        <v>1</v>
      </c>
      <c r="L300">
        <f>G300*K300</f>
        <v>3</v>
      </c>
    </row>
    <row r="301">
      <c r="A301" t="str">
        <v>PO-DB-13</v>
      </c>
      <c r="B301" t="str">
        <v>pokemon</v>
      </c>
      <c r="C301" t="str">
        <v>Toxtricity</v>
      </c>
      <c r="D301" t="str">
        <v>PFL 68/94</v>
      </c>
      <c r="E301" t="str">
        <v>holo</v>
      </c>
      <c r="F301" t="str">
        <v>HCM</v>
      </c>
      <c r="G301">
        <v>5</v>
      </c>
      <c r="H301">
        <v>29</v>
      </c>
      <c r="K301">
        <f>J301+H301-I301</f>
        <v>29</v>
      </c>
      <c r="L301">
        <f>G301*K301</f>
        <v>145</v>
      </c>
    </row>
    <row r="302">
      <c r="A302" t="str">
        <v>PO-DB-09</v>
      </c>
      <c r="B302" t="str">
        <v>pokemon</v>
      </c>
      <c r="C302" t="str">
        <v>Team Rocket's Murkrow</v>
      </c>
      <c r="D302" t="str">
        <v>ASC 126/217</v>
      </c>
      <c r="E302" t="str">
        <v>normal</v>
      </c>
      <c r="F302" t="str">
        <v>HCM</v>
      </c>
      <c r="G302">
        <v>4</v>
      </c>
      <c r="H302">
        <v>4</v>
      </c>
      <c r="K302">
        <f>J302+H302-I302</f>
        <v>4</v>
      </c>
      <c r="L302">
        <f>G302*K302</f>
        <v>16</v>
      </c>
    </row>
    <row r="303">
      <c r="A303" t="str">
        <v>PO-DB-09</v>
      </c>
      <c r="B303" t="str">
        <v>pokemon</v>
      </c>
      <c r="C303" t="str">
        <v>Team Rocket's Murkrow</v>
      </c>
      <c r="D303" t="str">
        <v>DRI 127/182</v>
      </c>
      <c r="E303" t="str">
        <v>normal</v>
      </c>
      <c r="F303" t="str">
        <v>HCM</v>
      </c>
      <c r="G303">
        <v>4</v>
      </c>
      <c r="H303">
        <v>10</v>
      </c>
      <c r="K303">
        <f>J303+H303-I303</f>
        <v>10</v>
      </c>
      <c r="L303">
        <f>G303*K303</f>
        <v>40</v>
      </c>
    </row>
    <row r="304">
      <c r="A304" t="str">
        <v>PO-P-35</v>
      </c>
      <c r="B304" t="str">
        <v>pokemon</v>
      </c>
      <c r="C304" t="str">
        <v>Alakazam</v>
      </c>
      <c r="D304" t="str">
        <v>MEG 56/132</v>
      </c>
      <c r="E304" t="str">
        <v>normal</v>
      </c>
      <c r="F304" t="str">
        <v>HCM</v>
      </c>
      <c r="G304">
        <v>5</v>
      </c>
      <c r="H304">
        <v>4</v>
      </c>
      <c r="K304">
        <f>J304+H304-I304</f>
        <v>4</v>
      </c>
      <c r="L304">
        <f>G304*K304</f>
        <v>20</v>
      </c>
    </row>
    <row r="305">
      <c r="A305" t="str">
        <v>PO-P-37</v>
      </c>
      <c r="B305" t="str">
        <v>pokemon</v>
      </c>
      <c r="C305" t="str">
        <v>Kadabra</v>
      </c>
      <c r="D305" t="str">
        <v>MEG 55/132</v>
      </c>
      <c r="E305" t="str">
        <v>normal</v>
      </c>
      <c r="F305" t="str">
        <v>HCM</v>
      </c>
      <c r="G305">
        <v>5</v>
      </c>
      <c r="H305">
        <v>2</v>
      </c>
      <c r="K305">
        <f>J305+H305-I305</f>
        <v>2</v>
      </c>
      <c r="L305">
        <f>G305*K305</f>
        <v>10</v>
      </c>
    </row>
    <row r="306">
      <c r="A306" t="str">
        <v xml:space="preserve">PO-P-01			</v>
      </c>
      <c r="B306" t="str">
        <v>pokemon</v>
      </c>
      <c r="C306" t="str">
        <v>ABRA</v>
      </c>
      <c r="D306" t="str">
        <v>MEG 054/132</v>
      </c>
      <c r="E306" t="str">
        <v>holo</v>
      </c>
      <c r="F306" t="str">
        <v>HCM</v>
      </c>
      <c r="G306">
        <v>5</v>
      </c>
      <c r="H306">
        <v>1</v>
      </c>
      <c r="K306">
        <f>J306+H306-I306</f>
        <v>1</v>
      </c>
      <c r="L306">
        <f>G306*K306</f>
        <v>5</v>
      </c>
    </row>
    <row r="307">
      <c r="A307" t="str">
        <v xml:space="preserve">PO-P-01			</v>
      </c>
      <c r="B307" t="str">
        <v>pokemon</v>
      </c>
      <c r="C307" t="str">
        <v>ABRA</v>
      </c>
      <c r="D307" t="str">
        <v>TWM 80/167</v>
      </c>
      <c r="E307" t="str">
        <v>normal</v>
      </c>
      <c r="F307" t="str">
        <v>HCM</v>
      </c>
      <c r="G307">
        <v>4</v>
      </c>
      <c r="H307">
        <v>1</v>
      </c>
      <c r="K307">
        <f>J307+H307-I307</f>
        <v>1</v>
      </c>
      <c r="L307">
        <f>G307*K307</f>
        <v>4</v>
      </c>
    </row>
    <row r="308">
      <c r="A308" t="str">
        <v xml:space="preserve">PO-Y-19			</v>
      </c>
      <c r="B308" t="str">
        <v>pokemon</v>
      </c>
      <c r="C308" t="str">
        <v>Lunatone</v>
      </c>
      <c r="D308" t="str">
        <v>MEG 74/132</v>
      </c>
      <c r="E308" t="str">
        <v>normal</v>
      </c>
      <c r="F308" t="str">
        <v>HCM</v>
      </c>
      <c r="G308">
        <v>6</v>
      </c>
      <c r="H308">
        <v>3</v>
      </c>
      <c r="K308">
        <f>J308+H308-I308</f>
        <v>3</v>
      </c>
      <c r="L308">
        <f>G308*K308</f>
        <v>18</v>
      </c>
    </row>
    <row r="309">
      <c r="A309" t="str">
        <v xml:space="preserve">PO-Y-19			</v>
      </c>
      <c r="B309" t="str">
        <v>pokemon</v>
      </c>
      <c r="C309" t="str">
        <v>Lunatone</v>
      </c>
      <c r="D309" t="str">
        <v>MEG 74/132</v>
      </c>
      <c r="E309" t="str">
        <v>holo</v>
      </c>
      <c r="F309" t="str">
        <v>HCM</v>
      </c>
      <c r="G309">
        <v>7</v>
      </c>
      <c r="H309">
        <v>1</v>
      </c>
      <c r="K309">
        <f>J309+H309-I309</f>
        <v>1</v>
      </c>
    </row>
    <row r="310">
      <c r="A310" t="str">
        <v xml:space="preserve">PO-Y-19			</v>
      </c>
      <c r="B310" t="str">
        <v>pokemon</v>
      </c>
      <c r="C310" t="str">
        <v>Lunatone</v>
      </c>
      <c r="D310" t="str">
        <v>ASC 105/217</v>
      </c>
      <c r="E310" t="str">
        <v>normal</v>
      </c>
      <c r="F310" t="str">
        <v>HCM</v>
      </c>
      <c r="G310">
        <v>5</v>
      </c>
      <c r="H310">
        <v>4</v>
      </c>
      <c r="K310">
        <f>J310+H310-I310</f>
        <v>4</v>
      </c>
    </row>
    <row r="311">
      <c r="A311" t="str">
        <v>PO-Y-16</v>
      </c>
      <c r="B311" t="str">
        <v>pokemon</v>
      </c>
      <c r="C311" t="str">
        <v>Hariyama</v>
      </c>
      <c r="D311" t="str">
        <v>MEG 73/132</v>
      </c>
      <c r="E311" t="str">
        <v>holo</v>
      </c>
      <c r="F311" t="str">
        <v>HCM</v>
      </c>
      <c r="G311">
        <v>8</v>
      </c>
      <c r="H311">
        <v>1</v>
      </c>
      <c r="K311">
        <f>J311+H311-I311</f>
        <v>1</v>
      </c>
      <c r="L311">
        <f>G311*K311</f>
        <v>8</v>
      </c>
    </row>
    <row r="312">
      <c r="A312" t="str">
        <v>PO-Y-16</v>
      </c>
      <c r="B312" t="str">
        <v>pokemon</v>
      </c>
      <c r="C312" t="str">
        <v>Hariyama</v>
      </c>
      <c r="D312" t="str">
        <v>MEG 73/132</v>
      </c>
      <c r="E312" t="str">
        <v>normal</v>
      </c>
      <c r="F312" t="str">
        <v>HCM</v>
      </c>
      <c r="G312">
        <v>7</v>
      </c>
      <c r="H312">
        <v>3</v>
      </c>
      <c r="K312">
        <f>J312+H312-I312</f>
        <v>3</v>
      </c>
      <c r="L312">
        <f>G312*K312</f>
        <v>21</v>
      </c>
    </row>
    <row r="313">
      <c r="A313" t="str">
        <v>PO-Y-23</v>
      </c>
      <c r="B313" t="str">
        <v>pokemon</v>
      </c>
      <c r="C313" t="str">
        <v>Makuhita</v>
      </c>
      <c r="D313" t="str">
        <v>MEG 72/132</v>
      </c>
      <c r="E313" t="str">
        <v>normal</v>
      </c>
      <c r="F313" t="str">
        <v>HCM</v>
      </c>
      <c r="G313">
        <v>5</v>
      </c>
      <c r="H313">
        <v>5</v>
      </c>
      <c r="K313">
        <f>J313+H313-I313</f>
        <v>5</v>
      </c>
      <c r="L313">
        <f>G313*K313</f>
        <v>25</v>
      </c>
    </row>
    <row r="314">
      <c r="A314" t="str">
        <v>PO-Y-23</v>
      </c>
      <c r="B314" t="str">
        <v>pokemon</v>
      </c>
      <c r="C314" t="str">
        <v>Makuhita</v>
      </c>
      <c r="D314" t="str">
        <v>MEG 72/132</v>
      </c>
      <c r="E314" t="str">
        <v>holo</v>
      </c>
      <c r="F314" t="str">
        <v>HCM</v>
      </c>
      <c r="G314">
        <v>6</v>
      </c>
      <c r="H314">
        <v>1</v>
      </c>
      <c r="K314">
        <f>J314+H314-I314</f>
        <v>1</v>
      </c>
    </row>
    <row r="315">
      <c r="A315" t="str">
        <v>PO-Y-39</v>
      </c>
      <c r="B315" t="str">
        <v>pokemon</v>
      </c>
      <c r="C315" t="str">
        <v>Riolu</v>
      </c>
      <c r="D315" t="str">
        <v>MEG 76/132</v>
      </c>
      <c r="E315" t="str">
        <v>normal</v>
      </c>
      <c r="F315" t="str">
        <v>HCM</v>
      </c>
      <c r="G315">
        <v>4</v>
      </c>
      <c r="H315">
        <v>4</v>
      </c>
      <c r="K315">
        <f>J315+H315-I315</f>
        <v>4</v>
      </c>
      <c r="L315">
        <f>G315*K315</f>
        <v>16</v>
      </c>
    </row>
    <row r="316">
      <c r="A316" t="str">
        <v>PO-Y-39</v>
      </c>
      <c r="B316" t="str">
        <v>pokemon</v>
      </c>
      <c r="C316" t="str">
        <v>Riolu</v>
      </c>
      <c r="D316" t="str">
        <v>MEG 76/132</v>
      </c>
      <c r="E316" t="str">
        <v>holo</v>
      </c>
      <c r="F316" t="str">
        <v>HCM</v>
      </c>
      <c r="G316">
        <v>5</v>
      </c>
      <c r="H316">
        <v>1</v>
      </c>
      <c r="K316">
        <f>J316+H316-I316</f>
        <v>1</v>
      </c>
      <c r="L316">
        <f>G316*K316</f>
        <v>5</v>
      </c>
    </row>
    <row r="317">
      <c r="A317" t="str">
        <v>PO-Y-39</v>
      </c>
      <c r="B317" t="str">
        <v>pokemon</v>
      </c>
      <c r="C317" t="str">
        <v>Riolu</v>
      </c>
      <c r="D317" t="str">
        <v>ASC 112/217</v>
      </c>
      <c r="E317" t="str">
        <v>normal</v>
      </c>
      <c r="F317" t="str">
        <v>HCM</v>
      </c>
      <c r="G317">
        <v>5</v>
      </c>
      <c r="H317">
        <v>8</v>
      </c>
      <c r="K317">
        <f>J317+H317-I317</f>
        <v>8</v>
      </c>
    </row>
    <row r="318">
      <c r="A318" t="str">
        <v>PO-R-11</v>
      </c>
      <c r="B318" t="str">
        <v>pokemon</v>
      </c>
      <c r="C318" t="str">
        <v>N's Darmanitan</v>
      </c>
      <c r="D318" t="str">
        <v>JTG 27/159</v>
      </c>
      <c r="E318" t="str">
        <v>normal</v>
      </c>
      <c r="F318" t="str">
        <v>HCM</v>
      </c>
      <c r="G318">
        <v>4</v>
      </c>
      <c r="H318">
        <v>24</v>
      </c>
      <c r="K318">
        <f>J318+H318-I318</f>
        <v>24</v>
      </c>
      <c r="L318">
        <f>G318*K318</f>
        <v>96</v>
      </c>
    </row>
    <row r="319">
      <c r="A319" t="str">
        <v>PO-R-11</v>
      </c>
      <c r="B319" t="str">
        <v>pokemon</v>
      </c>
      <c r="C319" t="str">
        <v>N's Darmanitan</v>
      </c>
      <c r="D319" t="str">
        <v>ASC 033/217</v>
      </c>
      <c r="E319" t="str">
        <v>normal</v>
      </c>
      <c r="F319" t="str">
        <v>HCM</v>
      </c>
      <c r="G319">
        <v>4</v>
      </c>
      <c r="H319">
        <v>3</v>
      </c>
      <c r="K319">
        <f>J319+H319-I319</f>
        <v>3</v>
      </c>
      <c r="L319">
        <f>G319*K319</f>
        <v>12</v>
      </c>
    </row>
    <row r="320">
      <c r="A320" t="str">
        <v>PO-R-11</v>
      </c>
      <c r="B320" t="str">
        <v>pokemon</v>
      </c>
      <c r="C320" t="str">
        <v>N's Darmanitan</v>
      </c>
      <c r="D320" t="str">
        <v>JTG 27/159</v>
      </c>
      <c r="E320" t="str">
        <v>holo</v>
      </c>
      <c r="F320" t="str">
        <v>HCM</v>
      </c>
      <c r="G320">
        <v>5</v>
      </c>
      <c r="H320">
        <v>1</v>
      </c>
      <c r="K320">
        <f>J320+H320-I320</f>
        <v>1</v>
      </c>
      <c r="L320">
        <f>G320*K320</f>
        <v>5</v>
      </c>
    </row>
    <row r="321">
      <c r="A321" t="str">
        <v>PO-R-10</v>
      </c>
      <c r="B321" t="str">
        <v>pokemon</v>
      </c>
      <c r="C321" t="str">
        <v>Darmanitan</v>
      </c>
      <c r="D321" t="str">
        <v>PFL 016/094</v>
      </c>
      <c r="E321" t="str">
        <v>normal</v>
      </c>
      <c r="F321" t="str">
        <v>HCM</v>
      </c>
      <c r="G321">
        <v>5</v>
      </c>
      <c r="H321">
        <v>1</v>
      </c>
      <c r="K321">
        <f>J321+H321-I321</f>
        <v>1</v>
      </c>
      <c r="L321">
        <f>G321*K321</f>
        <v>5</v>
      </c>
    </row>
    <row r="322">
      <c r="A322" t="str">
        <v>PO-R-12</v>
      </c>
      <c r="B322" t="str">
        <v>pokemon</v>
      </c>
      <c r="C322" t="str">
        <v>N's Darumaka</v>
      </c>
      <c r="D322" t="str">
        <v>PEL 016/094</v>
      </c>
      <c r="E322" t="str">
        <v>holo</v>
      </c>
      <c r="F322" t="str">
        <v>HCM</v>
      </c>
      <c r="G322">
        <v>5</v>
      </c>
      <c r="H322">
        <v>1</v>
      </c>
      <c r="K322">
        <f>J322+H322-I322</f>
        <v>1</v>
      </c>
      <c r="L322">
        <f>G322*K322</f>
        <v>5</v>
      </c>
    </row>
    <row r="323">
      <c r="A323" t="str">
        <v>PO-R-12</v>
      </c>
      <c r="B323" t="str">
        <v>pokemon</v>
      </c>
      <c r="C323" t="str">
        <v>N's Darumaka</v>
      </c>
      <c r="D323" t="str">
        <v>JTG 026/159</v>
      </c>
      <c r="E323" t="str">
        <v>normal</v>
      </c>
      <c r="F323" t="str">
        <v>HCM</v>
      </c>
      <c r="G323">
        <v>4</v>
      </c>
      <c r="H323">
        <v>21</v>
      </c>
      <c r="K323">
        <f>J323+H323-I323</f>
        <v>21</v>
      </c>
      <c r="L323">
        <f>G323*K323</f>
        <v>84</v>
      </c>
    </row>
    <row r="324">
      <c r="A324" t="str">
        <v>STA-10</v>
      </c>
      <c r="B324" t="str">
        <v>stadium</v>
      </c>
      <c r="C324" t="str">
        <v>Jamming Tower</v>
      </c>
      <c r="D324" t="str">
        <v>TWM 153/167</v>
      </c>
      <c r="E324" t="str">
        <v>normal</v>
      </c>
      <c r="F324" t="str">
        <v>HCM</v>
      </c>
      <c r="G324">
        <v>3</v>
      </c>
      <c r="H324">
        <v>2</v>
      </c>
      <c r="I324">
        <v>2</v>
      </c>
      <c r="K324">
        <f>J324+H324-I324</f>
        <v>0</v>
      </c>
      <c r="L324">
        <f>G324*K324</f>
        <v>0</v>
      </c>
    </row>
    <row r="325">
      <c r="A325" t="str">
        <v>STA-10</v>
      </c>
      <c r="B325" t="str">
        <v>stadium</v>
      </c>
      <c r="C325" t="str">
        <v>Jamming Tower</v>
      </c>
      <c r="D325" t="str">
        <v>TWM 153/167</v>
      </c>
      <c r="E325" t="str">
        <v>holo</v>
      </c>
      <c r="F325" t="str">
        <v>HCM</v>
      </c>
      <c r="G325">
        <v>5</v>
      </c>
      <c r="H325">
        <v>1</v>
      </c>
      <c r="K325">
        <f>J325+H325-I325</f>
        <v>1</v>
      </c>
      <c r="L325">
        <f>G325*K325</f>
        <v>5</v>
      </c>
    </row>
    <row r="326">
      <c r="A326" t="str">
        <v>STA-13</v>
      </c>
      <c r="B326" t="str">
        <v>stadium</v>
      </c>
      <c r="C326" t="str">
        <v>Lively Stadium</v>
      </c>
      <c r="D326" t="str">
        <v>SSP 180/191</v>
      </c>
      <c r="E326" t="str">
        <v>normal</v>
      </c>
      <c r="F326" t="str">
        <v>HCM</v>
      </c>
      <c r="G326">
        <v>5</v>
      </c>
      <c r="H326">
        <v>3</v>
      </c>
      <c r="K326">
        <f>J326+H326-I326</f>
        <v>3</v>
      </c>
      <c r="L326">
        <f>G326*K326</f>
        <v>15</v>
      </c>
    </row>
    <row r="327">
      <c r="A327" t="str">
        <v>STA-28</v>
      </c>
      <c r="B327" t="str">
        <v>stadium</v>
      </c>
      <c r="C327" t="str">
        <v>Team Rocket'sWatchtower</v>
      </c>
      <c r="D327" t="str">
        <v>DRI 180/182</v>
      </c>
      <c r="E327" t="str">
        <v>normal</v>
      </c>
      <c r="F327" t="str">
        <v>HCM</v>
      </c>
      <c r="G327">
        <v>5</v>
      </c>
      <c r="H327">
        <v>10</v>
      </c>
      <c r="K327">
        <f>J327+H327-I327</f>
        <v>10</v>
      </c>
      <c r="L327">
        <f>G327*K327</f>
        <v>50</v>
      </c>
    </row>
    <row r="328">
      <c r="A328" t="str">
        <v>STA-27</v>
      </c>
      <c r="B328" t="str">
        <v>stadium</v>
      </c>
      <c r="C328" t="str">
        <v xml:space="preserve">Team Rocket's Factory  </v>
      </c>
      <c r="D328" t="str">
        <v>DRI 173/182</v>
      </c>
      <c r="E328" t="str">
        <v>normal</v>
      </c>
      <c r="F328" t="str">
        <v>HCM</v>
      </c>
      <c r="G328">
        <v>5</v>
      </c>
      <c r="H328">
        <v>19</v>
      </c>
      <c r="K328">
        <f>J328+H328-I328</f>
        <v>19</v>
      </c>
      <c r="L328">
        <f>G328*K328</f>
        <v>95</v>
      </c>
    </row>
    <row r="329">
      <c r="A329" t="str">
        <v>STA-09</v>
      </c>
      <c r="B329" t="str">
        <v>stadium</v>
      </c>
      <c r="C329" t="str">
        <v xml:space="preserve">Forest of Vitality  </v>
      </c>
      <c r="D329" t="str">
        <v>MEG 117/132</v>
      </c>
      <c r="E329" t="str">
        <v>normal</v>
      </c>
      <c r="F329" t="str">
        <v>HCM</v>
      </c>
      <c r="G329">
        <v>4</v>
      </c>
      <c r="H329">
        <v>11</v>
      </c>
      <c r="K329">
        <f>J329+H329-I329</f>
        <v>11</v>
      </c>
      <c r="L329">
        <f>G329*K329</f>
        <v>44</v>
      </c>
    </row>
    <row r="330">
      <c r="A330" t="str">
        <v>STA-09</v>
      </c>
      <c r="B330" t="str">
        <v>stadium</v>
      </c>
      <c r="C330" t="str">
        <v xml:space="preserve">Forest of Vitality  </v>
      </c>
      <c r="D330" t="str">
        <v>MEG 117/132</v>
      </c>
      <c r="E330" t="str">
        <v>holo</v>
      </c>
      <c r="F330" t="str">
        <v>HCM</v>
      </c>
      <c r="G330">
        <v>6</v>
      </c>
      <c r="H330">
        <v>1</v>
      </c>
      <c r="K330">
        <f>J330+H330-I330</f>
        <v>1</v>
      </c>
      <c r="L330">
        <f>G330*K330</f>
        <v>6</v>
      </c>
    </row>
    <row r="331">
      <c r="A331" t="str">
        <v>STA-26</v>
      </c>
      <c r="B331" t="str">
        <v>stadium</v>
      </c>
      <c r="C331" t="str">
        <v>Risky Ruins</v>
      </c>
      <c r="D331" t="str">
        <v>MEG 127/132</v>
      </c>
      <c r="E331" t="str">
        <v>normal</v>
      </c>
      <c r="F331" t="str">
        <v>HCM</v>
      </c>
      <c r="G331">
        <v>5</v>
      </c>
      <c r="H331">
        <v>9</v>
      </c>
      <c r="K331">
        <f>J331+H331-I331</f>
        <v>9</v>
      </c>
      <c r="L331">
        <f>G331*K331</f>
        <v>45</v>
      </c>
    </row>
    <row r="332">
      <c r="A332" t="str">
        <v>STA-04</v>
      </c>
      <c r="B332" t="str">
        <v>stadium</v>
      </c>
      <c r="C332" t="str">
        <v xml:space="preserve">Battle Cage </v>
      </c>
      <c r="D332" t="str">
        <v>PFL 85/94</v>
      </c>
      <c r="E332" t="str">
        <v>normal</v>
      </c>
      <c r="F332" t="str">
        <v>HCM</v>
      </c>
      <c r="G332">
        <v>4</v>
      </c>
      <c r="H332">
        <v>29</v>
      </c>
      <c r="K332">
        <f>J332+H332-I332</f>
        <v>29</v>
      </c>
      <c r="L332">
        <f>G332*K332</f>
        <v>116</v>
      </c>
    </row>
    <row r="333">
      <c r="A333" t="str">
        <v>STA-04</v>
      </c>
      <c r="B333" t="str">
        <v>stadium</v>
      </c>
      <c r="C333" t="str">
        <v xml:space="preserve">Battle Cage </v>
      </c>
      <c r="D333" t="str">
        <v>PFL 85/94</v>
      </c>
      <c r="E333" t="str">
        <v>holo</v>
      </c>
      <c r="F333" t="str">
        <v>HCM</v>
      </c>
      <c r="G333">
        <v>5</v>
      </c>
      <c r="H333">
        <v>3</v>
      </c>
      <c r="K333">
        <f>J333+H333-I333</f>
        <v>3</v>
      </c>
      <c r="L333">
        <f>G333*K333</f>
        <v>15</v>
      </c>
    </row>
    <row r="334">
      <c r="A334" t="str">
        <v>STA-03</v>
      </c>
      <c r="B334" t="str">
        <v>stadium</v>
      </c>
      <c r="C334" t="str">
        <v>Area Zero Underdepths</v>
      </c>
      <c r="D334" t="str">
        <v>PRE 94/131</v>
      </c>
      <c r="E334" t="str">
        <v>normal</v>
      </c>
      <c r="F334" t="str">
        <v>HCM</v>
      </c>
      <c r="G334">
        <v>4</v>
      </c>
      <c r="H334">
        <v>12</v>
      </c>
      <c r="K334">
        <f>J334+H334-I334</f>
        <v>12</v>
      </c>
      <c r="L334">
        <f>G334*K334</f>
        <v>48</v>
      </c>
    </row>
    <row r="335">
      <c r="A335" t="str">
        <v>STA-03</v>
      </c>
      <c r="B335" t="str">
        <v>stadium</v>
      </c>
      <c r="C335" t="str">
        <v>Area Zero Underdepths</v>
      </c>
      <c r="D335" t="str">
        <v>PRE 94/131</v>
      </c>
      <c r="E335" t="str">
        <v>holo</v>
      </c>
      <c r="F335" t="str">
        <v>HCM</v>
      </c>
      <c r="G335">
        <v>5</v>
      </c>
      <c r="H335">
        <v>5</v>
      </c>
      <c r="K335">
        <f>J335+H335-I335</f>
        <v>5</v>
      </c>
      <c r="L335">
        <f>G335*K335</f>
        <v>25</v>
      </c>
    </row>
    <row r="336">
      <c r="A336" t="str">
        <v>STA-03</v>
      </c>
      <c r="B336" t="str">
        <v>stadium</v>
      </c>
      <c r="C336" t="str">
        <v>Area Zero Underdepths</v>
      </c>
      <c r="D336" t="str">
        <v>SCR  131/142</v>
      </c>
      <c r="E336" t="str">
        <v>normal</v>
      </c>
      <c r="F336" t="str">
        <v>HCM</v>
      </c>
      <c r="G336">
        <v>2</v>
      </c>
      <c r="H336">
        <v>12</v>
      </c>
      <c r="K336">
        <f>J336+H336-I336</f>
        <v>12</v>
      </c>
      <c r="L336">
        <f>G336*K336</f>
        <v>24</v>
      </c>
    </row>
    <row r="337">
      <c r="A337" t="str">
        <v>STA-03</v>
      </c>
      <c r="B337" t="str">
        <v>stadium</v>
      </c>
      <c r="C337" t="str">
        <v>Area Zero Underdepths</v>
      </c>
      <c r="D337" t="str">
        <v>SCR  131/142</v>
      </c>
      <c r="E337" t="str">
        <v>holo</v>
      </c>
      <c r="F337" t="str">
        <v>HCM</v>
      </c>
      <c r="G337">
        <v>3</v>
      </c>
      <c r="H337">
        <v>5</v>
      </c>
      <c r="K337">
        <f>J337+H337-I337</f>
        <v>5</v>
      </c>
      <c r="L337">
        <f>G337*K337</f>
        <v>15</v>
      </c>
    </row>
    <row r="338">
      <c r="A338" t="str">
        <v>STA-07</v>
      </c>
      <c r="B338" t="str">
        <v>stadium</v>
      </c>
      <c r="C338" t="str">
        <v>Festival Grounds</v>
      </c>
      <c r="D338" t="str">
        <v>PRE 108/131</v>
      </c>
      <c r="E338" t="str">
        <v>normal</v>
      </c>
      <c r="F338" t="str">
        <v>HCM</v>
      </c>
      <c r="G338">
        <v>3</v>
      </c>
      <c r="H338">
        <v>6</v>
      </c>
      <c r="K338">
        <f>J338+H338-I338</f>
        <v>6</v>
      </c>
      <c r="L338">
        <f>G338*K338</f>
        <v>18</v>
      </c>
    </row>
    <row r="339">
      <c r="A339" t="str">
        <v>STA-07</v>
      </c>
      <c r="B339" t="str">
        <v>stadium</v>
      </c>
      <c r="C339" t="str">
        <v>Festival Grounds</v>
      </c>
      <c r="D339" t="str">
        <v>TWM  149/167</v>
      </c>
      <c r="E339" t="str">
        <v>normal</v>
      </c>
      <c r="F339" t="str">
        <v>HCM</v>
      </c>
      <c r="G339">
        <v>2</v>
      </c>
      <c r="H339">
        <v>6</v>
      </c>
      <c r="K339">
        <f>J339+H339-I339</f>
        <v>6</v>
      </c>
      <c r="L339">
        <f>G339*K339</f>
        <v>12</v>
      </c>
    </row>
    <row r="340">
      <c r="A340" t="str">
        <v>STA-19</v>
      </c>
      <c r="B340" t="str">
        <v>stadium</v>
      </c>
      <c r="C340" t="str">
        <v>N's Castle</v>
      </c>
      <c r="D340" t="str">
        <v>JTG 152/1 59</v>
      </c>
      <c r="E340" t="str">
        <v>normal</v>
      </c>
      <c r="F340" t="str">
        <v>HCM</v>
      </c>
      <c r="G340">
        <v>5</v>
      </c>
      <c r="H340">
        <v>20</v>
      </c>
      <c r="K340">
        <f>J340+H340-I340</f>
        <v>20</v>
      </c>
      <c r="L340">
        <f>G340*K340</f>
        <v>100</v>
      </c>
    </row>
    <row r="341">
      <c r="A341" t="str">
        <v>STA-19</v>
      </c>
      <c r="B341" t="str">
        <v>stadium</v>
      </c>
      <c r="C341" t="str">
        <v>N's Castle</v>
      </c>
      <c r="D341" t="str">
        <v>JTG 152/1 59</v>
      </c>
      <c r="E341" t="str">
        <v>normal</v>
      </c>
      <c r="F341" t="str">
        <v>HCM</v>
      </c>
      <c r="G341">
        <v>6</v>
      </c>
      <c r="H341">
        <v>2</v>
      </c>
      <c r="K341">
        <f>J341+H341-I341</f>
        <v>2</v>
      </c>
      <c r="L341">
        <f>G341*K341</f>
        <v>12</v>
      </c>
    </row>
    <row r="342">
      <c r="A342" t="str">
        <v>STA-11</v>
      </c>
      <c r="B342" t="str">
        <v>stadium</v>
      </c>
      <c r="C342" t="str">
        <v>Gravity Mountain</v>
      </c>
      <c r="D342" t="str">
        <v xml:space="preserve"> SSP 177/191</v>
      </c>
      <c r="E342" t="str">
        <v>holo</v>
      </c>
      <c r="F342" t="str">
        <v>HCM</v>
      </c>
      <c r="G342">
        <v>5</v>
      </c>
      <c r="H342">
        <v>1</v>
      </c>
      <c r="K342">
        <f>J342+H342-I342</f>
        <v>1</v>
      </c>
      <c r="L342">
        <f>G342*K342</f>
        <v>5</v>
      </c>
    </row>
    <row r="343">
      <c r="A343" t="str">
        <v>STA-25</v>
      </c>
      <c r="B343" t="str">
        <v>stadium</v>
      </c>
      <c r="C343" t="str">
        <v>Spikemuth Gym</v>
      </c>
      <c r="D343" t="str">
        <v>DRI 169/182</v>
      </c>
      <c r="E343" t="str">
        <v>normal</v>
      </c>
      <c r="F343" t="str">
        <v>HCM</v>
      </c>
      <c r="G343">
        <v>5</v>
      </c>
      <c r="H343">
        <v>22</v>
      </c>
      <c r="K343">
        <f>J343+H343-I343</f>
        <v>22</v>
      </c>
      <c r="L343">
        <f>G343*K343</f>
        <v>110</v>
      </c>
    </row>
    <row r="344">
      <c r="A344" t="str">
        <v>STA-06</v>
      </c>
      <c r="B344" t="str">
        <v>stadium</v>
      </c>
      <c r="C344" t="str">
        <v>Dizzying Valley</v>
      </c>
      <c r="D344" t="str">
        <v>PFL 88/94</v>
      </c>
      <c r="E344" t="str">
        <v>normal</v>
      </c>
      <c r="F344" t="str">
        <v>HCM</v>
      </c>
      <c r="G344">
        <v>2</v>
      </c>
      <c r="H344">
        <v>10</v>
      </c>
      <c r="K344">
        <f>J344+H344-I344</f>
        <v>10</v>
      </c>
      <c r="L344">
        <f>G344*K344</f>
        <v>20</v>
      </c>
    </row>
    <row r="345">
      <c r="A345" t="str">
        <v>STA-06</v>
      </c>
      <c r="B345" t="str">
        <v>stadium</v>
      </c>
      <c r="C345" t="str">
        <v>Dizzying Valley</v>
      </c>
      <c r="D345" t="str">
        <v>PFL 88/94</v>
      </c>
      <c r="E345" t="str">
        <v>holo</v>
      </c>
      <c r="F345" t="str">
        <v>HCM</v>
      </c>
      <c r="G345">
        <v>3</v>
      </c>
      <c r="H345">
        <v>2</v>
      </c>
      <c r="K345">
        <f>J345+H345-I345</f>
        <v>2</v>
      </c>
      <c r="L345">
        <f>G345*K345</f>
        <v>6</v>
      </c>
    </row>
    <row r="346">
      <c r="A346" t="str">
        <v>STA-17</v>
      </c>
      <c r="B346" t="str">
        <v>stadium</v>
      </c>
      <c r="C346" t="str">
        <v xml:space="preserve">Mystery Garden </v>
      </c>
      <c r="D346" t="str">
        <v>MEG 122/132</v>
      </c>
      <c r="E346" t="str">
        <v>normal</v>
      </c>
      <c r="F346" t="str">
        <v>HCM</v>
      </c>
      <c r="G346">
        <v>4</v>
      </c>
      <c r="H346">
        <v>7</v>
      </c>
      <c r="K346">
        <f>J346+H346-I346</f>
        <v>7</v>
      </c>
      <c r="L346">
        <f>G346*K346</f>
        <v>28</v>
      </c>
    </row>
    <row r="347">
      <c r="A347" t="str">
        <v>STA-08</v>
      </c>
      <c r="B347" t="str">
        <v>stadium</v>
      </c>
      <c r="C347" t="str">
        <v xml:space="preserve">Full Metal Lab </v>
      </c>
      <c r="D347" t="str">
        <v>TEF 148/162</v>
      </c>
      <c r="E347" t="str">
        <v>normal</v>
      </c>
      <c r="F347" t="str">
        <v>HCM</v>
      </c>
      <c r="G347">
        <v>5</v>
      </c>
      <c r="H347">
        <v>7</v>
      </c>
      <c r="K347">
        <f>J347+H347-I347</f>
        <v>7</v>
      </c>
      <c r="L347">
        <f>G347*K347</f>
        <v>35</v>
      </c>
    </row>
    <row r="348">
      <c r="A348" t="str">
        <v>STA-08</v>
      </c>
      <c r="B348" t="str">
        <v>stadium</v>
      </c>
      <c r="C348" t="str">
        <v xml:space="preserve">Full Metal Lab </v>
      </c>
      <c r="D348" t="str">
        <v>TEF 148/162</v>
      </c>
      <c r="E348" t="str">
        <v>holo</v>
      </c>
      <c r="F348" t="str">
        <v>HCM</v>
      </c>
      <c r="G348">
        <v>6</v>
      </c>
      <c r="H348">
        <v>1</v>
      </c>
      <c r="K348">
        <f>J348+H348-I348</f>
        <v>1</v>
      </c>
      <c r="L348">
        <f>G348*K348</f>
        <v>6</v>
      </c>
    </row>
    <row r="349">
      <c r="A349" t="str">
        <v>STA-24</v>
      </c>
      <c r="B349" t="str">
        <v>stadium</v>
      </c>
      <c r="C349" t="str">
        <v>Surfing Beach</v>
      </c>
      <c r="D349" t="str">
        <v>MEG 129/132</v>
      </c>
      <c r="E349" t="str">
        <v>holo</v>
      </c>
      <c r="F349" t="str">
        <v>HCM</v>
      </c>
      <c r="G349">
        <v>5</v>
      </c>
      <c r="H349">
        <v>3</v>
      </c>
      <c r="K349">
        <f>J349+H349-I349</f>
        <v>3</v>
      </c>
      <c r="L349">
        <f>G349*K349</f>
        <v>15</v>
      </c>
    </row>
    <row r="350">
      <c r="A350" t="str">
        <v>PC-STA-08</v>
      </c>
      <c r="B350" t="str">
        <v>stadium</v>
      </c>
      <c r="C350" t="str">
        <v>Surfing Beach</v>
      </c>
      <c r="D350" t="str">
        <v>MEG 129/132</v>
      </c>
      <c r="E350" t="str">
        <v>prize card</v>
      </c>
      <c r="F350" t="str">
        <v>HCM</v>
      </c>
      <c r="G350">
        <v>7</v>
      </c>
      <c r="H350">
        <v>1</v>
      </c>
      <c r="K350">
        <f>J350+H350-I350</f>
        <v>1</v>
      </c>
      <c r="L350">
        <f>G350*K350</f>
        <v>7</v>
      </c>
    </row>
    <row r="351">
      <c r="A351" t="str">
        <v>TO-23</v>
      </c>
      <c r="B351" t="str">
        <v>tool</v>
      </c>
      <c r="C351" t="str">
        <v xml:space="preserve">Brave Bangle </v>
      </c>
      <c r="D351" t="str">
        <v>BLK  80/86</v>
      </c>
      <c r="E351" t="str">
        <v>normal</v>
      </c>
      <c r="F351" t="str">
        <v>HCM</v>
      </c>
      <c r="G351">
        <v>6</v>
      </c>
      <c r="H351">
        <v>9</v>
      </c>
      <c r="K351">
        <f>J351+H351-I351</f>
        <v>9</v>
      </c>
      <c r="L351">
        <f>G351*K351</f>
        <v>54</v>
      </c>
    </row>
    <row r="352">
      <c r="A352" t="str">
        <v>TO-25</v>
      </c>
      <c r="B352" t="str">
        <v>tool</v>
      </c>
      <c r="C352" t="str">
        <v xml:space="preserve">Counter Gain  </v>
      </c>
      <c r="D352" t="str">
        <v>SSP 169/191</v>
      </c>
      <c r="E352" t="str">
        <v>normal</v>
      </c>
      <c r="F352" t="str">
        <v>HCM</v>
      </c>
      <c r="G352">
        <v>5</v>
      </c>
      <c r="H352">
        <v>15</v>
      </c>
      <c r="K352">
        <f>J352+H352-I352</f>
        <v>15</v>
      </c>
      <c r="L352">
        <f>G352*K352</f>
        <v>75</v>
      </c>
    </row>
    <row r="353">
      <c r="A353" t="str">
        <v>TO-25</v>
      </c>
      <c r="B353" t="str">
        <v>tool</v>
      </c>
      <c r="C353" t="str">
        <v xml:space="preserve">Counter Gain  </v>
      </c>
      <c r="D353" t="str">
        <v>SSP 169/191</v>
      </c>
      <c r="E353" t="str">
        <v>holo</v>
      </c>
      <c r="F353" t="str">
        <v>HCM</v>
      </c>
      <c r="G353">
        <v>6</v>
      </c>
      <c r="H353">
        <v>1</v>
      </c>
      <c r="K353">
        <f>J353+H353-I353</f>
        <v>1</v>
      </c>
      <c r="L353">
        <f>G353*K353</f>
        <v>6</v>
      </c>
    </row>
    <row r="354">
      <c r="A354" t="str">
        <v>TO-24</v>
      </c>
      <c r="B354" t="str">
        <v>tool</v>
      </c>
      <c r="C354" t="str">
        <v xml:space="preserve">Cynthia's Power Weight </v>
      </c>
      <c r="D354" t="str">
        <v>DRI  162/182</v>
      </c>
      <c r="E354" t="str">
        <v>normal</v>
      </c>
      <c r="F354" t="str">
        <v>HCM</v>
      </c>
      <c r="G354">
        <v>3</v>
      </c>
      <c r="H354">
        <v>12</v>
      </c>
      <c r="K354">
        <f>J354+H354-I354</f>
        <v>12</v>
      </c>
      <c r="L354">
        <f>G354*K354</f>
        <v>36</v>
      </c>
    </row>
    <row r="355">
      <c r="A355" t="str">
        <v>TO-24</v>
      </c>
      <c r="B355" t="str">
        <v>tool</v>
      </c>
      <c r="C355" t="str">
        <v xml:space="preserve">Cynthia's Power Weight </v>
      </c>
      <c r="D355" t="str">
        <v>DRI  162/182</v>
      </c>
      <c r="E355" t="str">
        <v>holo</v>
      </c>
      <c r="F355" t="str">
        <v>HCM</v>
      </c>
      <c r="G355">
        <v>5</v>
      </c>
      <c r="H355">
        <v>5</v>
      </c>
      <c r="K355">
        <f>J355+H355-I355</f>
        <v>5</v>
      </c>
      <c r="L355">
        <f>G355*K355</f>
        <v>25</v>
      </c>
    </row>
    <row r="356">
      <c r="A356" t="str">
        <v>TO-34</v>
      </c>
      <c r="B356" t="str">
        <v>tool</v>
      </c>
      <c r="C356" t="str">
        <v xml:space="preserve">Hop's Choice Band </v>
      </c>
      <c r="D356" t="str">
        <v>JTG 148/159</v>
      </c>
      <c r="E356" t="str">
        <v>normal</v>
      </c>
      <c r="F356" t="str">
        <v>HCM</v>
      </c>
      <c r="G356">
        <v>3</v>
      </c>
      <c r="H356">
        <v>15</v>
      </c>
      <c r="K356">
        <f>J356+H356-I356</f>
        <v>15</v>
      </c>
      <c r="L356">
        <f>G356*K356</f>
        <v>45</v>
      </c>
    </row>
    <row r="357">
      <c r="A357" t="str">
        <v>TO-34</v>
      </c>
      <c r="B357" t="str">
        <v>tool</v>
      </c>
      <c r="C357" t="str">
        <v xml:space="preserve">Hop's Choice Band </v>
      </c>
      <c r="D357" t="str">
        <v>JTG 148/159</v>
      </c>
      <c r="E357" t="str">
        <v>holo</v>
      </c>
      <c r="F357" t="str">
        <v>HCM</v>
      </c>
      <c r="G357">
        <v>4</v>
      </c>
      <c r="H357">
        <v>4</v>
      </c>
      <c r="K357">
        <f>J357+H357-I357</f>
        <v>4</v>
      </c>
      <c r="L357">
        <f>G357*K357</f>
        <v>16</v>
      </c>
    </row>
    <row r="358">
      <c r="A358" t="str">
        <v>TO-20</v>
      </c>
      <c r="B358" t="str">
        <v>tool</v>
      </c>
      <c r="C358" t="str">
        <v xml:space="preserve">Lucky Helmet </v>
      </c>
      <c r="D358" t="str">
        <v>TWM 158/167</v>
      </c>
      <c r="E358" t="str">
        <v>normal</v>
      </c>
      <c r="F358" t="str">
        <v>HCM</v>
      </c>
      <c r="G358">
        <v>5</v>
      </c>
      <c r="H358">
        <v>9</v>
      </c>
      <c r="K358">
        <f>J358+H358-I358</f>
        <v>9</v>
      </c>
      <c r="L358">
        <f>G358*K358</f>
        <v>45</v>
      </c>
    </row>
    <row r="359">
      <c r="A359" t="str">
        <v>TO-12</v>
      </c>
      <c r="B359" t="str">
        <v>tool</v>
      </c>
      <c r="C359" t="str">
        <v xml:space="preserve">Binding Mochi  </v>
      </c>
      <c r="D359" t="str">
        <v>PRE 95/131</v>
      </c>
      <c r="E359" t="str">
        <v>normal</v>
      </c>
      <c r="F359" t="str">
        <v>HCM</v>
      </c>
      <c r="G359">
        <v>4</v>
      </c>
      <c r="H359">
        <v>9</v>
      </c>
      <c r="K359">
        <f>J359+H359-I359</f>
        <v>9</v>
      </c>
      <c r="L359">
        <f>G359*K359</f>
        <v>36</v>
      </c>
    </row>
    <row r="360">
      <c r="A360" t="str">
        <v>TO-12</v>
      </c>
      <c r="B360" t="str">
        <v>tool</v>
      </c>
      <c r="C360" t="str">
        <v xml:space="preserve">Binding Mochi  </v>
      </c>
      <c r="D360" t="str">
        <v>PRE 95/131</v>
      </c>
      <c r="E360" t="str">
        <v>holo</v>
      </c>
      <c r="F360" t="str">
        <v>HCM</v>
      </c>
      <c r="G360">
        <v>5</v>
      </c>
      <c r="H360">
        <v>2</v>
      </c>
      <c r="K360">
        <f>J360+H360-I360</f>
        <v>2</v>
      </c>
      <c r="L360">
        <f>G360*K360</f>
        <v>10</v>
      </c>
    </row>
    <row r="361">
      <c r="A361" t="str">
        <v>SPE-02</v>
      </c>
      <c r="B361" t="str">
        <v>special energy</v>
      </c>
      <c r="C361" t="str">
        <v>Prism Energy</v>
      </c>
      <c r="D361" t="str">
        <v>ASC 216/217</v>
      </c>
      <c r="E361" t="str">
        <v>normal</v>
      </c>
      <c r="F361" t="str">
        <v>HCM</v>
      </c>
      <c r="G361">
        <v>5</v>
      </c>
      <c r="H361">
        <v>5</v>
      </c>
      <c r="K361">
        <f>J361+H361-I361</f>
        <v>5</v>
      </c>
      <c r="L361">
        <f>G361*K361</f>
        <v>25</v>
      </c>
    </row>
    <row r="362">
      <c r="A362" t="str">
        <v>SPE-02</v>
      </c>
      <c r="B362" t="str">
        <v>special energy</v>
      </c>
      <c r="C362" t="str">
        <v>Prism Energy</v>
      </c>
      <c r="D362" t="str">
        <v>BLK 86/86</v>
      </c>
      <c r="E362" t="str">
        <v>normal</v>
      </c>
      <c r="F362" t="str">
        <v>HCM</v>
      </c>
      <c r="G362">
        <v>5</v>
      </c>
      <c r="H362">
        <v>23</v>
      </c>
      <c r="K362">
        <f>J362+H362-I362</f>
        <v>23</v>
      </c>
      <c r="L362">
        <f>G362*K362</f>
        <v>115</v>
      </c>
    </row>
    <row r="363">
      <c r="A363" t="str">
        <v>SPE-02</v>
      </c>
      <c r="B363" t="str">
        <v>special energy</v>
      </c>
      <c r="C363" t="str">
        <v>Prism Energy</v>
      </c>
      <c r="D363" t="str">
        <v>BLK 86/86</v>
      </c>
      <c r="E363" t="str">
        <v>holo</v>
      </c>
      <c r="F363" t="str">
        <v>HCM</v>
      </c>
      <c r="G363">
        <v>6</v>
      </c>
      <c r="H363">
        <v>1</v>
      </c>
      <c r="K363">
        <f>J363+H363-I363</f>
        <v>1</v>
      </c>
      <c r="L363">
        <f>G363*K363</f>
        <v>6</v>
      </c>
    </row>
    <row r="364">
      <c r="A364" t="str">
        <v>SPE-01</v>
      </c>
      <c r="B364" t="str">
        <v>special energy</v>
      </c>
      <c r="C364" t="str">
        <v>Mist Energy</v>
      </c>
      <c r="D364" t="str">
        <v>TEF 161/162</v>
      </c>
      <c r="E364" t="str">
        <v>normal</v>
      </c>
      <c r="F364" t="str">
        <v>HCM</v>
      </c>
      <c r="G364">
        <v>10</v>
      </c>
      <c r="H364">
        <v>5</v>
      </c>
      <c r="K364">
        <f>J364+H364-I364</f>
        <v>5</v>
      </c>
      <c r="L364">
        <f>G364*K364</f>
        <v>50</v>
      </c>
    </row>
    <row r="365">
      <c r="A365" t="str">
        <v>SPE-01</v>
      </c>
      <c r="B365" t="str">
        <v>special energy</v>
      </c>
      <c r="C365" t="str">
        <v>Mist Energy</v>
      </c>
      <c r="D365" t="str">
        <v>TEF 161/162</v>
      </c>
      <c r="E365" t="str">
        <v>holo</v>
      </c>
      <c r="F365" t="str">
        <v>HCM</v>
      </c>
      <c r="G365">
        <v>12</v>
      </c>
      <c r="H365">
        <v>1</v>
      </c>
      <c r="K365">
        <f>J365+H365-I365</f>
        <v>1</v>
      </c>
      <c r="L365">
        <f>G365*K365</f>
        <v>12</v>
      </c>
    </row>
    <row r="366">
      <c r="A366" t="str">
        <v>SPE-07</v>
      </c>
      <c r="B366" t="str">
        <v>special energy</v>
      </c>
      <c r="C366" t="str">
        <v xml:space="preserve">Team Rocket's Energy  </v>
      </c>
      <c r="D366" t="str">
        <v>DRI  182/182</v>
      </c>
      <c r="E366" t="str">
        <v>normal</v>
      </c>
      <c r="F366" t="str">
        <v>HCM</v>
      </c>
      <c r="G366">
        <v>7</v>
      </c>
      <c r="H366">
        <v>7</v>
      </c>
      <c r="K366">
        <f>J366+H366-I366</f>
        <v>7</v>
      </c>
      <c r="L366">
        <f>G366*K366</f>
        <v>49</v>
      </c>
    </row>
    <row r="367">
      <c r="A367" t="str">
        <v>SPE-07</v>
      </c>
      <c r="B367" t="str">
        <v>special energy</v>
      </c>
      <c r="C367" t="str">
        <v xml:space="preserve">Team Rocket's Energy  </v>
      </c>
      <c r="D367" t="str">
        <v>DRI  182/182</v>
      </c>
      <c r="E367" t="str">
        <v>holo</v>
      </c>
      <c r="F367" t="str">
        <v>HCM</v>
      </c>
      <c r="G367">
        <v>8</v>
      </c>
      <c r="H367">
        <v>1</v>
      </c>
      <c r="K367">
        <f>J367+H367-I367</f>
        <v>1</v>
      </c>
      <c r="L367">
        <f>G367*K367</f>
        <v>8</v>
      </c>
    </row>
    <row r="368">
      <c r="A368" t="str">
        <v>SPE-04</v>
      </c>
      <c r="B368" t="str">
        <v>special energy</v>
      </c>
      <c r="C368" t="str">
        <v>Ignition Energy</v>
      </c>
      <c r="D368" t="str">
        <v>WHT 86/86</v>
      </c>
      <c r="E368" t="str">
        <v>normal</v>
      </c>
      <c r="F368" t="str">
        <v>HCM</v>
      </c>
      <c r="G368">
        <v>6</v>
      </c>
      <c r="H368">
        <v>15</v>
      </c>
      <c r="K368">
        <f>J368+H368-I368</f>
        <v>15</v>
      </c>
      <c r="L368">
        <f>G368*K368</f>
        <v>90</v>
      </c>
    </row>
    <row r="369">
      <c r="A369" t="str">
        <v>SPE-04</v>
      </c>
      <c r="B369" t="str">
        <v>special energy</v>
      </c>
      <c r="C369" t="str">
        <v>Ignition Energy</v>
      </c>
      <c r="D369" t="str">
        <v>WHT 86/86</v>
      </c>
      <c r="E369" t="str">
        <v>holo</v>
      </c>
      <c r="F369" t="str">
        <v>HCM</v>
      </c>
      <c r="G369">
        <v>8</v>
      </c>
      <c r="H369">
        <v>2</v>
      </c>
      <c r="K369">
        <f>J369+H369-I369</f>
        <v>2</v>
      </c>
      <c r="L369">
        <f>G369*K369</f>
        <v>16</v>
      </c>
    </row>
    <row r="370">
      <c r="A370" t="str">
        <v>PO-G-24</v>
      </c>
      <c r="B370" t="str">
        <v>pokemon</v>
      </c>
      <c r="C370" t="str">
        <v xml:space="preserve">SMOLIV </v>
      </c>
      <c r="D370" t="str">
        <v>DRI 21/182</v>
      </c>
      <c r="E370" t="str">
        <v>normal</v>
      </c>
      <c r="F370" t="str">
        <v>HCM</v>
      </c>
      <c r="G370">
        <v>4</v>
      </c>
      <c r="H370">
        <v>21</v>
      </c>
      <c r="K370">
        <f>J370+H370-I370</f>
        <v>21</v>
      </c>
      <c r="L370">
        <f>G370*K370</f>
        <v>84</v>
      </c>
    </row>
    <row r="371">
      <c r="A371" t="str">
        <v>PO-G-24</v>
      </c>
      <c r="B371" t="str">
        <v>pokemon</v>
      </c>
      <c r="C371" t="str">
        <v xml:space="preserve">SMOLIV </v>
      </c>
      <c r="D371" t="str">
        <v>DRI 21/182</v>
      </c>
      <c r="E371" t="str">
        <v>holo</v>
      </c>
      <c r="F371" t="str">
        <v>HCM</v>
      </c>
      <c r="G371">
        <v>5</v>
      </c>
      <c r="H371">
        <v>4</v>
      </c>
      <c r="K371">
        <f>J371+H371-I371</f>
        <v>4</v>
      </c>
      <c r="L371">
        <f>G371*K371</f>
        <v>20</v>
      </c>
    </row>
    <row r="372">
      <c r="A372" t="str">
        <v>PO-G-10</v>
      </c>
      <c r="B372" t="str">
        <v>pokemon</v>
      </c>
      <c r="C372" t="str">
        <v xml:space="preserve">Dolliv  </v>
      </c>
      <c r="D372" t="str">
        <v xml:space="preserve">DRI 22/182 </v>
      </c>
      <c r="E372" t="str">
        <v>normal</v>
      </c>
      <c r="F372" t="str">
        <v>HCM</v>
      </c>
      <c r="G372">
        <v>4</v>
      </c>
      <c r="H372">
        <v>10</v>
      </c>
      <c r="K372">
        <f>J372+H372-I372</f>
        <v>10</v>
      </c>
      <c r="L372">
        <f>G372*K372</f>
        <v>40</v>
      </c>
    </row>
    <row r="373">
      <c r="A373" t="str">
        <v>PO-G-10</v>
      </c>
      <c r="B373" t="str">
        <v>pokemon</v>
      </c>
      <c r="C373" t="str">
        <v xml:space="preserve">Dolliv  </v>
      </c>
      <c r="D373" t="str">
        <v xml:space="preserve">DRI 22/182 </v>
      </c>
      <c r="E373" t="str">
        <v>holo</v>
      </c>
      <c r="F373" t="str">
        <v>HCM</v>
      </c>
      <c r="G373">
        <v>5</v>
      </c>
      <c r="H373">
        <v>3</v>
      </c>
      <c r="K373">
        <f>J373+H373-I373</f>
        <v>3</v>
      </c>
      <c r="L373">
        <f>G373*K373</f>
        <v>15</v>
      </c>
    </row>
    <row r="374">
      <c r="A374" t="str">
        <v>TO-15</v>
      </c>
      <c r="B374" t="str">
        <v>tool</v>
      </c>
      <c r="C374" t="str">
        <v>RESCUE BOARD</v>
      </c>
      <c r="D374" t="str">
        <v>PRE EN 126/131</v>
      </c>
      <c r="E374" t="str">
        <v>normal</v>
      </c>
      <c r="F374" t="str">
        <v>HCM</v>
      </c>
      <c r="G374">
        <v>3</v>
      </c>
      <c r="H374">
        <v>4</v>
      </c>
      <c r="K374">
        <f>J374+H374-I374</f>
        <v>4</v>
      </c>
      <c r="L374">
        <f>G374*K374</f>
        <v>12</v>
      </c>
    </row>
    <row r="375">
      <c r="A375" t="str">
        <v>TO-15</v>
      </c>
      <c r="B375" t="str">
        <v>tool</v>
      </c>
      <c r="C375" t="str">
        <v>RESCUE BOARD</v>
      </c>
      <c r="D375" t="str">
        <v>PRE EN 126/131</v>
      </c>
      <c r="E375" t="str">
        <v>holo</v>
      </c>
      <c r="F375" t="str">
        <v>HCM</v>
      </c>
      <c r="G375">
        <v>5</v>
      </c>
      <c r="H375">
        <v>2</v>
      </c>
      <c r="K375">
        <f>J375+H375-I375</f>
        <v>2</v>
      </c>
      <c r="L375">
        <f>G375*K375</f>
        <v>10</v>
      </c>
    </row>
    <row r="376">
      <c r="A376" t="str">
        <v>TO-15</v>
      </c>
      <c r="B376" t="str">
        <v>tool</v>
      </c>
      <c r="C376" t="str">
        <v>RESCUE BOARD</v>
      </c>
      <c r="D376" t="str">
        <v>TEF EN 159/162</v>
      </c>
      <c r="E376" t="str">
        <v>holo</v>
      </c>
      <c r="F376" t="str">
        <v>HCM</v>
      </c>
      <c r="G376">
        <v>5</v>
      </c>
      <c r="H376">
        <v>1</v>
      </c>
      <c r="K376">
        <f>J376+H376-I376</f>
        <v>1</v>
      </c>
      <c r="L376">
        <f>G376*K376</f>
        <v>5</v>
      </c>
    </row>
    <row r="377">
      <c r="A377" t="str">
        <v>TO-15</v>
      </c>
      <c r="B377" t="str">
        <v>tool</v>
      </c>
      <c r="C377" t="str">
        <v>RESCUE BOARD</v>
      </c>
      <c r="D377" t="str">
        <v>TEF EN 159/162</v>
      </c>
      <c r="E377" t="str">
        <v>normal</v>
      </c>
      <c r="F377" t="str">
        <v>HCM</v>
      </c>
      <c r="G377">
        <v>3</v>
      </c>
      <c r="H377">
        <v>2</v>
      </c>
      <c r="K377">
        <f>J377+H377-I377</f>
        <v>2</v>
      </c>
      <c r="L377">
        <f>G377*K377</f>
        <v>6</v>
      </c>
    </row>
    <row r="378">
      <c r="A378" t="str">
        <v>PC-TO-09</v>
      </c>
      <c r="B378" t="str">
        <v>tool</v>
      </c>
      <c r="C378" t="str">
        <v>RESCUE BOARD</v>
      </c>
      <c r="D378" t="str">
        <v>TEF EN 159/162</v>
      </c>
      <c r="E378" t="str">
        <v>prize card</v>
      </c>
      <c r="F378" t="str">
        <v>HCM</v>
      </c>
      <c r="G378">
        <v>6</v>
      </c>
      <c r="H378">
        <v>14</v>
      </c>
      <c r="K378">
        <f>J378+H378-I378</f>
        <v>14</v>
      </c>
      <c r="L378">
        <f>G378*K378</f>
        <v>84</v>
      </c>
    </row>
    <row r="379">
      <c r="B379" t="str">
        <v>tool</v>
      </c>
      <c r="C379" t="str">
        <v>RESCUE BOARD</v>
      </c>
      <c r="D379" t="str">
        <v>TEF EN 159/162</v>
      </c>
      <c r="E379" t="str">
        <v>holo prize card</v>
      </c>
      <c r="F379" t="str">
        <v>HCM</v>
      </c>
      <c r="G379">
        <v>10</v>
      </c>
      <c r="H379">
        <v>1</v>
      </c>
      <c r="K379">
        <f>J379+H379-I379</f>
        <v>1</v>
      </c>
      <c r="L379">
        <f>G379*K379</f>
        <v>10</v>
      </c>
    </row>
    <row r="380">
      <c r="A380" t="str">
        <v>IT-34</v>
      </c>
      <c r="B380" t="str">
        <v>item</v>
      </c>
      <c r="C380" t="str">
        <v>PICNIC BASKET</v>
      </c>
      <c r="D380" t="str">
        <v>SVI 184/198</v>
      </c>
      <c r="E380" t="str">
        <v>normal</v>
      </c>
      <c r="F380" t="str">
        <v>HCM</v>
      </c>
      <c r="G380">
        <v>3</v>
      </c>
      <c r="H380">
        <v>5</v>
      </c>
      <c r="K380">
        <f>J380+H380-I380</f>
        <v>5</v>
      </c>
      <c r="L380">
        <f>G380*K380</f>
        <v>15</v>
      </c>
    </row>
    <row r="381">
      <c r="A381" t="str">
        <v>TO-33</v>
      </c>
      <c r="B381" t="str">
        <v>tool</v>
      </c>
      <c r="C381" t="str">
        <v>BIG AIR BALLOON</v>
      </c>
      <c r="D381" t="str">
        <v>MEW EN 155/165</v>
      </c>
      <c r="E381" t="str">
        <v>normal</v>
      </c>
      <c r="F381" t="str">
        <v>HCM</v>
      </c>
      <c r="G381">
        <v>3</v>
      </c>
      <c r="H381">
        <v>2</v>
      </c>
      <c r="K381">
        <f>J381+H381-I381</f>
        <v>2</v>
      </c>
      <c r="L381">
        <f>G381*K381</f>
        <v>6</v>
      </c>
    </row>
    <row r="382">
      <c r="A382" t="str">
        <v>TO-33</v>
      </c>
      <c r="B382" t="str">
        <v>tool</v>
      </c>
      <c r="C382" t="str">
        <v>BIG AIR BALLOON</v>
      </c>
      <c r="D382" t="str">
        <v>MEW EN 155/165</v>
      </c>
      <c r="E382" t="str">
        <v>holo</v>
      </c>
      <c r="F382" t="str">
        <v>HCM</v>
      </c>
      <c r="G382">
        <v>3</v>
      </c>
      <c r="H382">
        <v>1</v>
      </c>
      <c r="K382">
        <f>J382+H382-I382</f>
        <v>1</v>
      </c>
      <c r="L382">
        <f>G382*K382</f>
        <v>3</v>
      </c>
    </row>
    <row r="383">
      <c r="A383" t="str">
        <v xml:space="preserve">PO-Y-18	</v>
      </c>
      <c r="B383" t="str">
        <v>pokemon</v>
      </c>
      <c r="C383" t="str">
        <v>HIPPOWDON</v>
      </c>
      <c r="D383" t="str">
        <v>F 080/189</v>
      </c>
      <c r="E383" t="str">
        <v>holo</v>
      </c>
      <c r="F383" t="str">
        <v>HCM</v>
      </c>
      <c r="G383">
        <v>3</v>
      </c>
      <c r="H383">
        <v>1</v>
      </c>
      <c r="K383">
        <f>J383+H383-I383</f>
        <v>1</v>
      </c>
      <c r="L383">
        <f>G383*K383</f>
        <v>3</v>
      </c>
    </row>
    <row r="384">
      <c r="A384" t="str">
        <v>IT-22</v>
      </c>
      <c r="B384" t="str">
        <v>item</v>
      </c>
      <c r="C384" t="str">
        <v>GREAT BALL</v>
      </c>
      <c r="D384" t="str">
        <v>PAL EN 183/193</v>
      </c>
      <c r="E384" t="str">
        <v>normal</v>
      </c>
      <c r="F384" t="str">
        <v>HCM</v>
      </c>
      <c r="G384">
        <v>3</v>
      </c>
      <c r="H384">
        <v>8</v>
      </c>
      <c r="K384">
        <f>J384+H384-I384</f>
        <v>8</v>
      </c>
      <c r="L384">
        <f>G384*K384</f>
        <v>24</v>
      </c>
    </row>
    <row r="385">
      <c r="A385" t="str">
        <v>SUP-47</v>
      </c>
      <c r="B385" t="str">
        <v>suppoter</v>
      </c>
      <c r="C385" t="str">
        <v>YOUNGSTER</v>
      </c>
      <c r="D385" t="str">
        <v>SVI 198/198</v>
      </c>
      <c r="E385" t="str">
        <v>normal</v>
      </c>
      <c r="F385" t="str">
        <v>HCM</v>
      </c>
      <c r="G385">
        <v>3</v>
      </c>
      <c r="H385">
        <v>5</v>
      </c>
      <c r="K385">
        <f>J385+H385-I385</f>
        <v>5</v>
      </c>
      <c r="L385">
        <f>G385*K385</f>
        <v>15</v>
      </c>
    </row>
    <row r="386">
      <c r="A386" t="str">
        <v>IT-44</v>
      </c>
      <c r="B386" t="str">
        <v>item</v>
      </c>
      <c r="C386" t="str">
        <v>TECHNO RADAR</v>
      </c>
      <c r="D386" t="str">
        <v>PRE EN 130/131</v>
      </c>
      <c r="E386" t="str">
        <v>normal</v>
      </c>
      <c r="F386" t="str">
        <v>HCM</v>
      </c>
      <c r="G386">
        <v>2</v>
      </c>
      <c r="H386">
        <v>7</v>
      </c>
      <c r="K386">
        <f>J386+H386-I386</f>
        <v>7</v>
      </c>
      <c r="L386">
        <f>G386*K386</f>
        <v>14</v>
      </c>
    </row>
    <row r="387">
      <c r="A387" t="str">
        <v>PC-IT-01</v>
      </c>
      <c r="B387" t="str">
        <v>item</v>
      </c>
      <c r="C387" t="str">
        <v>TECHNO RADAR</v>
      </c>
      <c r="D387" t="str">
        <v>PAR EN 180/182</v>
      </c>
      <c r="E387" t="str">
        <v>prize card</v>
      </c>
      <c r="F387" t="str">
        <v>HCM</v>
      </c>
      <c r="G387">
        <v>5</v>
      </c>
      <c r="H387">
        <v>17</v>
      </c>
      <c r="K387">
        <f>J387+H387-I387</f>
        <v>17</v>
      </c>
      <c r="L387">
        <f>G387*K387</f>
        <v>85</v>
      </c>
    </row>
    <row r="388">
      <c r="A388" t="str">
        <v>PC-IT-01</v>
      </c>
      <c r="B388" t="str">
        <v>item</v>
      </c>
      <c r="C388" t="str">
        <v>TECHNO RADAR</v>
      </c>
      <c r="D388" t="str">
        <v>PAR EN 180/182</v>
      </c>
      <c r="E388" t="str">
        <v>holo prize card</v>
      </c>
      <c r="F388" t="str">
        <v>HCM</v>
      </c>
      <c r="G388">
        <v>7</v>
      </c>
      <c r="H388">
        <v>2</v>
      </c>
      <c r="K388">
        <f>J388+H388-I388</f>
        <v>2</v>
      </c>
      <c r="L388">
        <f>G388*K388</f>
        <v>14</v>
      </c>
    </row>
    <row r="389">
      <c r="A389" t="str">
        <v>TO-12</v>
      </c>
      <c r="B389" t="str">
        <v>tool</v>
      </c>
      <c r="C389" t="str">
        <v>BINDING MOCHI</v>
      </c>
      <c r="D389" t="str">
        <v>SFA 055/064</v>
      </c>
      <c r="E389" t="str">
        <v>normal</v>
      </c>
      <c r="F389" t="str">
        <v>HCM</v>
      </c>
      <c r="G389">
        <v>4</v>
      </c>
      <c r="H389">
        <v>5</v>
      </c>
      <c r="K389">
        <f>J389+H389-I389</f>
        <v>5</v>
      </c>
      <c r="L389">
        <f>G389*K389</f>
        <v>20</v>
      </c>
    </row>
    <row r="390">
      <c r="A390" t="str">
        <v>PC-TO-10</v>
      </c>
      <c r="B390" t="str">
        <v>tool</v>
      </c>
      <c r="C390" t="str">
        <v>BINDING MOCHI</v>
      </c>
      <c r="D390" t="str">
        <v>SFA 055/064</v>
      </c>
      <c r="E390" t="str">
        <v>prize card</v>
      </c>
      <c r="F390" t="str">
        <v>HCM</v>
      </c>
      <c r="G390">
        <v>8</v>
      </c>
      <c r="H390">
        <v>1</v>
      </c>
      <c r="K390">
        <f>J390+H390-I390</f>
        <v>1</v>
      </c>
      <c r="L390">
        <f>G390*K390</f>
        <v>8</v>
      </c>
    </row>
    <row r="391">
      <c r="A391" t="str">
        <v>SUP-29</v>
      </c>
      <c r="B391" t="str">
        <v>suppoter</v>
      </c>
      <c r="C391" t="str">
        <v>LACEY</v>
      </c>
      <c r="D391" t="str">
        <v>SCR 139/142</v>
      </c>
      <c r="E391" t="str">
        <v>holo</v>
      </c>
      <c r="F391" t="str">
        <v>HCM</v>
      </c>
      <c r="G391">
        <v>4</v>
      </c>
      <c r="H391">
        <v>1</v>
      </c>
      <c r="K391">
        <f>J391+H391-I391</f>
        <v>1</v>
      </c>
      <c r="L391">
        <f>G391*K391</f>
        <v>4</v>
      </c>
    </row>
    <row r="392">
      <c r="A392" t="str">
        <v>SUP-29</v>
      </c>
      <c r="B392" t="str">
        <v>suppoter</v>
      </c>
      <c r="C392" t="str">
        <v>LACEY</v>
      </c>
      <c r="D392" t="str">
        <v>SCR 139/142</v>
      </c>
      <c r="E392" t="str">
        <v>normal</v>
      </c>
      <c r="F392" t="str">
        <v>HCM</v>
      </c>
      <c r="G392">
        <v>3</v>
      </c>
      <c r="H392">
        <v>17</v>
      </c>
      <c r="K392">
        <f>J392+H392-I392</f>
        <v>17</v>
      </c>
      <c r="L392">
        <f>G392*K392</f>
        <v>51</v>
      </c>
    </row>
    <row r="393">
      <c r="A393" t="str">
        <v>SUP-29</v>
      </c>
      <c r="B393" t="str">
        <v>suppoter</v>
      </c>
      <c r="C393" t="str">
        <v>LACEY</v>
      </c>
      <c r="D393" t="str">
        <v>PRE 114/142</v>
      </c>
      <c r="E393" t="str">
        <v>normal</v>
      </c>
      <c r="F393" t="str">
        <v>HCM</v>
      </c>
      <c r="G393">
        <v>3</v>
      </c>
      <c r="H393">
        <v>13</v>
      </c>
      <c r="K393">
        <f>J393+H393-I393</f>
        <v>13</v>
      </c>
      <c r="L393">
        <f>G393*K393</f>
        <v>39</v>
      </c>
    </row>
    <row r="394">
      <c r="A394" t="str">
        <v>PC-SUP-004</v>
      </c>
      <c r="B394" t="str">
        <v>suppoter</v>
      </c>
      <c r="C394" t="str">
        <v>PROFESSOR'S RESEARCH</v>
      </c>
      <c r="D394" t="str">
        <v>SVI EN 189/198</v>
      </c>
      <c r="E394" t="str">
        <v>prize card</v>
      </c>
      <c r="F394" t="str">
        <v>HCM</v>
      </c>
      <c r="G394">
        <v>6</v>
      </c>
      <c r="H394">
        <v>2</v>
      </c>
      <c r="K394">
        <f>J394+H394-I394</f>
        <v>2</v>
      </c>
      <c r="L394">
        <f>G394*K394</f>
        <v>12</v>
      </c>
    </row>
    <row r="395">
      <c r="A395" t="str">
        <v>SUP-37D</v>
      </c>
      <c r="B395" t="str">
        <v>suppoter</v>
      </c>
      <c r="C395" t="str">
        <v>PROFESSOR'S RESEARCH</v>
      </c>
      <c r="D395" t="str">
        <v>D 178/202</v>
      </c>
      <c r="E395" t="str">
        <v>normal</v>
      </c>
      <c r="F395" t="str">
        <v>HCM</v>
      </c>
      <c r="G395">
        <v>3</v>
      </c>
      <c r="H395">
        <v>6</v>
      </c>
      <c r="K395">
        <f>J395+H395-I395</f>
        <v>6</v>
      </c>
      <c r="L395">
        <f>G395*K395</f>
        <v>18</v>
      </c>
    </row>
    <row r="396">
      <c r="A396" t="str">
        <v>SUP-37I</v>
      </c>
      <c r="B396" t="str">
        <v>suppoter</v>
      </c>
      <c r="C396" t="str">
        <v>PROFESSOR'S RESEARCH</v>
      </c>
      <c r="D396" t="str">
        <v>D 060/072</v>
      </c>
      <c r="E396" t="str">
        <v>normal</v>
      </c>
      <c r="F396" t="str">
        <v>HCM</v>
      </c>
      <c r="G396">
        <v>3</v>
      </c>
      <c r="H396">
        <v>3</v>
      </c>
      <c r="K396">
        <f>J396+H396-I396</f>
        <v>3</v>
      </c>
      <c r="L396">
        <f>G396*K396</f>
        <v>9</v>
      </c>
    </row>
    <row r="397">
      <c r="A397" t="str">
        <v>SUP-37G</v>
      </c>
      <c r="B397" t="str">
        <v>suppoter</v>
      </c>
      <c r="C397" t="str">
        <v>PROFESSOR'S RESEARCH</v>
      </c>
      <c r="D397" t="str">
        <v>JTG 155/159</v>
      </c>
      <c r="E397" t="str">
        <v>normal</v>
      </c>
      <c r="F397" t="str">
        <v>HCM</v>
      </c>
      <c r="G397">
        <v>3</v>
      </c>
      <c r="H397">
        <v>8</v>
      </c>
      <c r="K397">
        <f>J397+H397-I397</f>
        <v>8</v>
      </c>
      <c r="L397">
        <f>G397*K397</f>
        <v>24</v>
      </c>
    </row>
    <row r="398">
      <c r="A398" t="str">
        <v>SUP-37G</v>
      </c>
      <c r="B398" t="str">
        <v>suppoter</v>
      </c>
      <c r="C398" t="str">
        <v>PROFESSOR'S RESEARCH</v>
      </c>
      <c r="D398" t="str">
        <v>JTG 155/159</v>
      </c>
      <c r="E398" t="str">
        <v>holo</v>
      </c>
      <c r="F398" t="str">
        <v>HCM</v>
      </c>
      <c r="G398">
        <v>5</v>
      </c>
      <c r="H398">
        <v>1</v>
      </c>
      <c r="K398">
        <f>J398+H398-I398</f>
        <v>1</v>
      </c>
      <c r="L398">
        <f>G398*K398</f>
        <v>5</v>
      </c>
    </row>
    <row r="399">
      <c r="A399" t="str">
        <v>SUP-37G</v>
      </c>
      <c r="B399" t="str">
        <v>suppoter</v>
      </c>
      <c r="C399" t="str">
        <v>PROFESSOR'S RESEARCH</v>
      </c>
      <c r="D399" t="str">
        <v>SVI 189/198</v>
      </c>
      <c r="E399" t="str">
        <v>holo</v>
      </c>
      <c r="F399" t="str">
        <v>HCM</v>
      </c>
      <c r="G399">
        <v>5</v>
      </c>
      <c r="H399">
        <v>2</v>
      </c>
      <c r="K399">
        <f>J399+H399-I399</f>
        <v>2</v>
      </c>
      <c r="L399">
        <f>G399*K399</f>
        <v>10</v>
      </c>
    </row>
    <row r="400">
      <c r="A400" t="str">
        <v>SUP-37G</v>
      </c>
      <c r="B400" t="str">
        <v>suppoter</v>
      </c>
      <c r="C400" t="str">
        <v>PROFESSOR'S RESEARCH</v>
      </c>
      <c r="D400" t="str">
        <v>SVI 189/198</v>
      </c>
      <c r="E400" t="str">
        <v>normal</v>
      </c>
      <c r="F400" t="str">
        <v>HCM</v>
      </c>
      <c r="G400">
        <v>3</v>
      </c>
      <c r="H400">
        <v>1</v>
      </c>
      <c r="K400">
        <f>J400+H400-I400</f>
        <v>1</v>
      </c>
      <c r="L400">
        <f>G400*K400</f>
        <v>3</v>
      </c>
    </row>
    <row r="401">
      <c r="A401" t="str">
        <v>SUP-37E</v>
      </c>
      <c r="B401" t="str">
        <v>suppoter</v>
      </c>
      <c r="C401" t="str">
        <v>PROFESSOR'S RESEARCH</v>
      </c>
      <c r="D401" t="str">
        <v>F 147/172</v>
      </c>
      <c r="E401" t="str">
        <v>normal</v>
      </c>
      <c r="F401" t="str">
        <v>HCM</v>
      </c>
      <c r="G401">
        <v>3</v>
      </c>
      <c r="H401">
        <v>2</v>
      </c>
      <c r="K401">
        <f>J401+H401-I401</f>
        <v>2</v>
      </c>
      <c r="L401">
        <f>G401*K401</f>
        <v>6</v>
      </c>
    </row>
    <row r="402">
      <c r="A402" t="str">
        <v>SUP-37F</v>
      </c>
      <c r="B402" t="str">
        <v>suppoter</v>
      </c>
      <c r="C402" t="str">
        <v>PROFESSOR'S RESEARCH</v>
      </c>
      <c r="D402" t="str">
        <v>PRE 124/131</v>
      </c>
      <c r="E402" t="str">
        <v>normal</v>
      </c>
      <c r="F402" t="str">
        <v>HCM</v>
      </c>
      <c r="G402">
        <v>3</v>
      </c>
      <c r="H402">
        <v>3</v>
      </c>
      <c r="K402">
        <f>J402+H402-I402</f>
        <v>3</v>
      </c>
      <c r="L402">
        <f>G402*K402</f>
        <v>9</v>
      </c>
    </row>
    <row r="403">
      <c r="A403" t="str">
        <v>SUP-37F</v>
      </c>
      <c r="B403" t="str">
        <v>suppoter</v>
      </c>
      <c r="C403" t="str">
        <v>PROFESSOR'S RESEARCH</v>
      </c>
      <c r="D403" t="str">
        <v>PRE 124/131</v>
      </c>
      <c r="E403" t="str">
        <v>holo</v>
      </c>
      <c r="F403" t="str">
        <v>HCM</v>
      </c>
      <c r="G403">
        <v>4</v>
      </c>
      <c r="H403">
        <v>1</v>
      </c>
      <c r="K403">
        <f>J403+H403-I403</f>
        <v>1</v>
      </c>
    </row>
    <row r="404">
      <c r="A404" t="str">
        <v>SUP-37B</v>
      </c>
      <c r="B404" t="str">
        <v>suppoter</v>
      </c>
      <c r="C404" t="str">
        <v>PROFESSOR'S RESEARCH</v>
      </c>
      <c r="D404" t="str">
        <v>PRE 122/131</v>
      </c>
      <c r="E404" t="str">
        <v>normal</v>
      </c>
      <c r="F404" t="str">
        <v>HCM</v>
      </c>
      <c r="G404">
        <v>3</v>
      </c>
      <c r="H404">
        <v>6</v>
      </c>
      <c r="K404">
        <f>J404+H404-I404</f>
        <v>6</v>
      </c>
      <c r="L404">
        <f>G404*K404</f>
        <v>18</v>
      </c>
    </row>
    <row r="405">
      <c r="A405" t="str">
        <v>SUP-37C</v>
      </c>
      <c r="B405" t="str">
        <v>suppoter</v>
      </c>
      <c r="C405" t="str">
        <v>PROFESSOR'S RESEARCH</v>
      </c>
      <c r="D405" t="str">
        <v>PRE 125/131</v>
      </c>
      <c r="E405" t="str">
        <v>holo</v>
      </c>
      <c r="F405" t="str">
        <v>HCM</v>
      </c>
      <c r="G405">
        <v>5</v>
      </c>
      <c r="H405">
        <v>1</v>
      </c>
      <c r="K405">
        <f>J405+H405-I405</f>
        <v>1</v>
      </c>
      <c r="L405">
        <f>G405*K405</f>
        <v>5</v>
      </c>
    </row>
    <row r="406">
      <c r="A406" t="str">
        <v>SUP-37C</v>
      </c>
      <c r="B406" t="str">
        <v>suppoter</v>
      </c>
      <c r="C406" t="str">
        <v>PROFESSOR'S RESEARCH</v>
      </c>
      <c r="D406" t="str">
        <v>PRE 125/131</v>
      </c>
      <c r="E406" t="str">
        <v>normal</v>
      </c>
      <c r="F406" t="str">
        <v>HCM</v>
      </c>
      <c r="G406">
        <v>4</v>
      </c>
      <c r="H406">
        <v>2</v>
      </c>
      <c r="K406">
        <f>J406+H406-I406</f>
        <v>2</v>
      </c>
    </row>
    <row r="407">
      <c r="A407" t="str">
        <v>SUP-37A</v>
      </c>
      <c r="B407" t="str">
        <v>suppoter</v>
      </c>
      <c r="C407" t="str">
        <v>PROFESSOR'S RESEARCH</v>
      </c>
      <c r="D407" t="str">
        <v>SVI 190/198</v>
      </c>
      <c r="E407" t="str">
        <v>holo</v>
      </c>
      <c r="F407" t="str">
        <v>HCM</v>
      </c>
      <c r="G407">
        <v>5</v>
      </c>
      <c r="H407">
        <v>1</v>
      </c>
      <c r="K407">
        <f>J407+H407-I407</f>
        <v>1</v>
      </c>
      <c r="L407">
        <f>G407*K407</f>
        <v>5</v>
      </c>
    </row>
    <row r="408">
      <c r="A408" t="str">
        <v>SUP-37H</v>
      </c>
      <c r="B408" t="str">
        <v>suppoter</v>
      </c>
      <c r="C408" t="str">
        <v>PROFESSOR'S RESEARCH</v>
      </c>
      <c r="D408" t="str">
        <v>BLK 085/086</v>
      </c>
      <c r="E408" t="str">
        <v>normal</v>
      </c>
      <c r="F408" t="str">
        <v>HCM</v>
      </c>
      <c r="G408">
        <v>3</v>
      </c>
      <c r="H408">
        <v>6</v>
      </c>
      <c r="K408">
        <f>J408+H408-I408</f>
        <v>6</v>
      </c>
      <c r="L408">
        <f>G408*K408</f>
        <v>18</v>
      </c>
    </row>
    <row r="409">
      <c r="A409" t="str">
        <v>SUP-37H</v>
      </c>
      <c r="B409" t="str">
        <v>suppoter</v>
      </c>
      <c r="C409" t="str">
        <v>PROFESSOR'S RESEARCH</v>
      </c>
      <c r="D409" t="str">
        <v>BLK 085/086</v>
      </c>
      <c r="E409" t="str">
        <v>holo</v>
      </c>
      <c r="F409" t="str">
        <v>HCM</v>
      </c>
      <c r="G409">
        <v>4</v>
      </c>
      <c r="H409">
        <v>1</v>
      </c>
      <c r="K409">
        <f>J409+H409-I409</f>
        <v>1</v>
      </c>
      <c r="L409">
        <f>G409*K409</f>
        <v>4</v>
      </c>
    </row>
    <row r="410">
      <c r="A410" t="str">
        <v>SUP-37A</v>
      </c>
      <c r="B410" t="str">
        <v>suppoter</v>
      </c>
      <c r="C410" t="str">
        <v>PROFESSOR'S RESEARCH</v>
      </c>
      <c r="D410" t="str">
        <v>PAF 088/091</v>
      </c>
      <c r="E410" t="str">
        <v>holo</v>
      </c>
      <c r="F410" t="str">
        <v>HCM</v>
      </c>
      <c r="G410">
        <v>4</v>
      </c>
      <c r="H410">
        <v>4</v>
      </c>
      <c r="K410">
        <f>J410+H410-I410</f>
        <v>4</v>
      </c>
      <c r="L410">
        <f>G410*K410</f>
        <v>16</v>
      </c>
    </row>
    <row r="411">
      <c r="A411" t="str">
        <v>PO-P-17</v>
      </c>
      <c r="B411" t="str">
        <v>pokemon</v>
      </c>
      <c r="C411" t="str">
        <v>INDEEDEE</v>
      </c>
      <c r="D411" t="str">
        <v>E 127/264</v>
      </c>
      <c r="E411" t="str">
        <v>holo</v>
      </c>
      <c r="F411" t="str">
        <v>HCM</v>
      </c>
      <c r="G411">
        <v>5</v>
      </c>
      <c r="H411">
        <v>1</v>
      </c>
      <c r="K411">
        <f>J411+H411-I411</f>
        <v>1</v>
      </c>
      <c r="L411">
        <f>G411*K411</f>
        <v>5</v>
      </c>
    </row>
    <row r="412">
      <c r="A412" t="str">
        <v>IT-13</v>
      </c>
      <c r="B412" t="str">
        <v>item</v>
      </c>
      <c r="C412" t="str">
        <v>ELECTRIC GENERATOR</v>
      </c>
      <c r="D412" t="str">
        <v>SVI 170/198</v>
      </c>
      <c r="E412" t="str">
        <v>normal</v>
      </c>
      <c r="F412" t="str">
        <v>HCM</v>
      </c>
      <c r="G412">
        <v>3</v>
      </c>
      <c r="H412">
        <v>5</v>
      </c>
      <c r="K412">
        <f>J412+H412-I412</f>
        <v>5</v>
      </c>
      <c r="L412">
        <f>G412*K412</f>
        <v>15</v>
      </c>
    </row>
    <row r="413">
      <c r="A413" t="str">
        <v>IT-13</v>
      </c>
      <c r="B413" t="str">
        <v>item</v>
      </c>
      <c r="C413" t="str">
        <v>ELECTRIC GENERATOR</v>
      </c>
      <c r="D413" t="str">
        <v>PAF EN 079/091</v>
      </c>
      <c r="E413" t="str">
        <v>normal</v>
      </c>
      <c r="F413" t="str">
        <v>HCM</v>
      </c>
      <c r="G413">
        <v>3</v>
      </c>
      <c r="H413">
        <v>4</v>
      </c>
      <c r="K413">
        <f>J413+H413-I413</f>
        <v>4</v>
      </c>
      <c r="L413">
        <f>G413*K413</f>
        <v>12</v>
      </c>
    </row>
    <row r="414">
      <c r="A414" t="str">
        <v>SUP-34</v>
      </c>
      <c r="B414" t="str">
        <v>suppoter</v>
      </c>
      <c r="C414" t="str">
        <v>N'S PLAN</v>
      </c>
      <c r="D414" t="str">
        <v>BLK EN 083/086</v>
      </c>
      <c r="E414" t="str">
        <v>normal</v>
      </c>
      <c r="F414" t="str">
        <v>HCM</v>
      </c>
      <c r="G414">
        <v>3</v>
      </c>
      <c r="H414">
        <v>8</v>
      </c>
      <c r="K414">
        <f>J414+H414-I414</f>
        <v>8</v>
      </c>
      <c r="L414">
        <f>G414*K414</f>
        <v>24</v>
      </c>
    </row>
    <row r="415">
      <c r="A415" t="str">
        <v>STA-16</v>
      </c>
      <c r="C415" t="str">
        <v>MOONLIT HILL</v>
      </c>
      <c r="D415" t="str">
        <v>PAF EN 081/091</v>
      </c>
      <c r="E415" t="str">
        <v>normal</v>
      </c>
      <c r="F415" t="str">
        <v>HCM</v>
      </c>
      <c r="G415">
        <v>3</v>
      </c>
      <c r="H415">
        <v>3</v>
      </c>
      <c r="K415">
        <f>J415+H415-I415</f>
        <v>3</v>
      </c>
      <c r="L415">
        <f>G415*K415</f>
        <v>9</v>
      </c>
    </row>
    <row r="416">
      <c r="A416" t="str">
        <v>TO-05</v>
      </c>
      <c r="B416" t="str">
        <v>tool</v>
      </c>
      <c r="C416" t="str">
        <v>TECHNICAL MACHINE: BLINDSIDE</v>
      </c>
      <c r="D416" t="str">
        <v>PAR EN 176/182</v>
      </c>
      <c r="E416" t="str">
        <v>normal</v>
      </c>
      <c r="F416" t="str">
        <v>HCM</v>
      </c>
      <c r="G416">
        <v>2</v>
      </c>
      <c r="H416">
        <v>4</v>
      </c>
      <c r="K416">
        <f>J416+H416-I416</f>
        <v>4</v>
      </c>
      <c r="L416">
        <f>G416*K416</f>
        <v>8</v>
      </c>
    </row>
    <row r="417">
      <c r="A417" t="str">
        <v>TO-19</v>
      </c>
      <c r="B417" t="str">
        <v>tool</v>
      </c>
      <c r="C417" t="str">
        <v>GRAVITY GEMSTONE</v>
      </c>
      <c r="D417" t="str">
        <v>SCR EN 137/142</v>
      </c>
      <c r="E417" t="str">
        <v>normal</v>
      </c>
      <c r="F417" t="str">
        <v>HCM</v>
      </c>
      <c r="G417">
        <v>3</v>
      </c>
      <c r="H417">
        <v>17</v>
      </c>
      <c r="K417">
        <f>J417+H417-I417</f>
        <v>17</v>
      </c>
      <c r="L417">
        <f>G417*K417</f>
        <v>51</v>
      </c>
    </row>
    <row r="418">
      <c r="A418" t="str">
        <v>TO-19</v>
      </c>
      <c r="B418" t="str">
        <v>tool</v>
      </c>
      <c r="C418" t="str">
        <v>GRAVITY GEMSTONE</v>
      </c>
      <c r="D418" t="str">
        <v>SCR EN 137/142</v>
      </c>
      <c r="E418" t="str">
        <v>holo</v>
      </c>
      <c r="F418" t="str">
        <v>HCM</v>
      </c>
      <c r="G418">
        <v>3</v>
      </c>
      <c r="H418">
        <v>2</v>
      </c>
      <c r="K418">
        <f>J418+H418-I418</f>
        <v>2</v>
      </c>
      <c r="L418">
        <f>G418*K418</f>
        <v>6</v>
      </c>
    </row>
    <row r="419">
      <c r="A419" t="str">
        <v>IT-05</v>
      </c>
      <c r="B419" t="str">
        <v>item</v>
      </c>
      <c r="C419" t="str">
        <v>CALL BELL</v>
      </c>
      <c r="D419" t="str">
        <v>SSP 165/191</v>
      </c>
      <c r="E419" t="str">
        <v>normal</v>
      </c>
      <c r="F419" t="str">
        <v>HCM</v>
      </c>
      <c r="G419">
        <v>2</v>
      </c>
      <c r="H419">
        <v>7</v>
      </c>
      <c r="K419">
        <f>J419+H419-I419</f>
        <v>7</v>
      </c>
      <c r="L419">
        <f>G419*K419</f>
        <v>14</v>
      </c>
    </row>
    <row r="420">
      <c r="B420" t="str">
        <v>item</v>
      </c>
      <c r="C420" t="str">
        <v>N's PP Up</v>
      </c>
      <c r="D420" t="str">
        <v>JTG 153/159</v>
      </c>
      <c r="E420" t="str">
        <v>prize card</v>
      </c>
      <c r="F420" t="str">
        <v>HCM</v>
      </c>
      <c r="G420">
        <v>4</v>
      </c>
      <c r="H420">
        <v>1</v>
      </c>
      <c r="K420">
        <f>J420+H420-I420</f>
        <v>1</v>
      </c>
      <c r="L420">
        <f>G420*K420</f>
        <v>4</v>
      </c>
    </row>
    <row r="421">
      <c r="A421" t="str">
        <v>IT-45</v>
      </c>
      <c r="B421" t="str">
        <v>item</v>
      </c>
      <c r="C421" t="str">
        <v>TERA ORB</v>
      </c>
      <c r="D421" t="str">
        <v>SSP 189/191</v>
      </c>
      <c r="E421" t="str">
        <v>holo</v>
      </c>
      <c r="F421" t="str">
        <v>HCM</v>
      </c>
      <c r="G421">
        <v>7</v>
      </c>
      <c r="H421">
        <v>5</v>
      </c>
      <c r="K421">
        <f>J421+H421-I421</f>
        <v>5</v>
      </c>
      <c r="L421">
        <f>G421*K421</f>
        <v>35</v>
      </c>
    </row>
    <row r="422">
      <c r="A422" t="str">
        <v>IT-45</v>
      </c>
      <c r="B422" t="str">
        <v>item</v>
      </c>
      <c r="C422" t="str">
        <v>TERA ORB</v>
      </c>
      <c r="D422" t="str">
        <v>SSP 189/191</v>
      </c>
      <c r="E422" t="str">
        <v>normal</v>
      </c>
      <c r="F422" t="str">
        <v>HCM</v>
      </c>
      <c r="G422">
        <v>5</v>
      </c>
      <c r="H422">
        <v>21</v>
      </c>
      <c r="K422">
        <f>J422+H422-I422</f>
        <v>21</v>
      </c>
      <c r="L422">
        <f>G422*K422</f>
        <v>105</v>
      </c>
    </row>
    <row r="423">
      <c r="A423" t="str">
        <v>SUP-13</v>
      </c>
      <c r="B423" t="str">
        <v>suppoter</v>
      </c>
      <c r="C423" t="str">
        <v>DRAYTON</v>
      </c>
      <c r="D423" t="str">
        <v>SSP 174/191</v>
      </c>
      <c r="E423" t="str">
        <v>normal</v>
      </c>
      <c r="F423" t="str">
        <v>HCM</v>
      </c>
      <c r="G423">
        <v>3</v>
      </c>
      <c r="H423">
        <f>27</f>
        <v>27</v>
      </c>
      <c r="K423">
        <f>J423+H423-I423</f>
        <v>27</v>
      </c>
      <c r="L423">
        <f>G423*K423</f>
        <v>81</v>
      </c>
    </row>
    <row r="424">
      <c r="A424" t="str">
        <v>PC-SUP-001</v>
      </c>
      <c r="B424" t="str">
        <v>suppoter</v>
      </c>
      <c r="C424" t="str">
        <v>EXPLORER'S GUIDANCE</v>
      </c>
      <c r="D424" t="str">
        <v>TEF EN 147/162</v>
      </c>
      <c r="E424" t="str">
        <v>holo prize card</v>
      </c>
      <c r="F424" t="str">
        <v>HCM</v>
      </c>
      <c r="G424">
        <v>5</v>
      </c>
      <c r="H424">
        <v>1</v>
      </c>
      <c r="K424">
        <f>J424+H424-I424</f>
        <v>1</v>
      </c>
      <c r="L424">
        <f>G424*K424</f>
        <v>5</v>
      </c>
    </row>
    <row r="425">
      <c r="A425" t="str">
        <v>SUP-16</v>
      </c>
      <c r="B425" t="str">
        <v>suppoter</v>
      </c>
      <c r="C425" t="str">
        <v>EXPLORER'S GUIDANCE</v>
      </c>
      <c r="D425" t="str">
        <v>TEF EN 147/162</v>
      </c>
      <c r="E425" t="str">
        <v>normal</v>
      </c>
      <c r="F425" t="str">
        <v>HCM</v>
      </c>
      <c r="G425">
        <v>4</v>
      </c>
      <c r="H425">
        <v>11</v>
      </c>
      <c r="K425">
        <f>J425+H425-I425</f>
        <v>11</v>
      </c>
      <c r="L425">
        <f>G425*K425</f>
        <v>44</v>
      </c>
    </row>
    <row r="426">
      <c r="A426" t="str">
        <v>SUP-16</v>
      </c>
      <c r="B426" t="str">
        <v>suppoter</v>
      </c>
      <c r="C426" t="str">
        <v>EXPLORER'S GUIDANCE</v>
      </c>
      <c r="D426" t="str">
        <v>PRE EN 107/162</v>
      </c>
      <c r="E426" t="str">
        <v>normal</v>
      </c>
      <c r="F426" t="str">
        <v>HCM</v>
      </c>
      <c r="G426">
        <v>4</v>
      </c>
      <c r="H426">
        <v>13</v>
      </c>
      <c r="K426">
        <f>J426+H426-I426</f>
        <v>13</v>
      </c>
      <c r="L426">
        <f>G426*K426</f>
        <v>52</v>
      </c>
    </row>
    <row r="427">
      <c r="A427" t="str">
        <v>TO-08</v>
      </c>
      <c r="B427" t="str">
        <v>tool</v>
      </c>
      <c r="C427" t="str">
        <v>TECHNICAL MACHINE: FLUORITE</v>
      </c>
      <c r="D427" t="str">
        <v>SSP 188/191</v>
      </c>
      <c r="E427" t="str">
        <v>normal</v>
      </c>
      <c r="F427" t="str">
        <v>HCM</v>
      </c>
      <c r="G427">
        <v>2</v>
      </c>
      <c r="H427">
        <v>9</v>
      </c>
      <c r="K427">
        <f>J427+H427-I427</f>
        <v>9</v>
      </c>
      <c r="L427">
        <f>G427*K427</f>
        <v>18</v>
      </c>
    </row>
    <row r="428">
      <c r="A428" t="str">
        <v>STA-03</v>
      </c>
      <c r="B428" t="str">
        <v>stadium</v>
      </c>
      <c r="C428" t="str">
        <v>Area Zero Underdepths</v>
      </c>
      <c r="D428" t="str">
        <v>SCR  131/142</v>
      </c>
      <c r="E428" t="str">
        <v>normal</v>
      </c>
      <c r="F428" t="str">
        <v>HCM</v>
      </c>
      <c r="G428">
        <v>2</v>
      </c>
      <c r="H428">
        <v>13</v>
      </c>
      <c r="K428">
        <f>J428+H428-I428</f>
        <v>13</v>
      </c>
      <c r="L428">
        <f>G428*K428</f>
        <v>26</v>
      </c>
    </row>
    <row r="429">
      <c r="A429" t="str">
        <v>PC-STA-01</v>
      </c>
      <c r="B429" t="str">
        <v>stadium</v>
      </c>
      <c r="C429" t="str">
        <v>Area Zero Underdepths</v>
      </c>
      <c r="D429" t="str">
        <v>SCR  131/142</v>
      </c>
      <c r="E429" t="str">
        <v>prize card</v>
      </c>
      <c r="F429" t="str">
        <v>HCM</v>
      </c>
      <c r="G429">
        <v>9</v>
      </c>
      <c r="H429">
        <v>8</v>
      </c>
      <c r="K429">
        <f>J429+H429-I429</f>
        <v>8</v>
      </c>
    </row>
    <row r="430">
      <c r="A430" t="str">
        <v>STA-03</v>
      </c>
      <c r="B430" t="str">
        <v>stadium</v>
      </c>
      <c r="C430" t="str">
        <v>Area Zero Underdepths</v>
      </c>
      <c r="D430" t="str">
        <v>PRE 94/131</v>
      </c>
      <c r="E430" t="str">
        <v>normal</v>
      </c>
      <c r="F430" t="str">
        <v>HCM</v>
      </c>
      <c r="G430">
        <v>5</v>
      </c>
      <c r="H430">
        <v>4</v>
      </c>
      <c r="K430">
        <f>J430+H430-I430</f>
        <v>4</v>
      </c>
      <c r="L430">
        <f>G430*K430</f>
        <v>20</v>
      </c>
    </row>
    <row r="431">
      <c r="A431" t="str">
        <v>IT-08</v>
      </c>
      <c r="B431" t="str">
        <v>item</v>
      </c>
      <c r="C431" t="str">
        <v>CRUSHING HAMMER</v>
      </c>
      <c r="D431" t="str">
        <v>D 159/202</v>
      </c>
      <c r="E431" t="str">
        <v>normal</v>
      </c>
      <c r="F431" t="str">
        <v>HCM</v>
      </c>
      <c r="G431">
        <v>4</v>
      </c>
      <c r="H431">
        <v>3</v>
      </c>
      <c r="K431">
        <f>J431+H431-I431</f>
        <v>3</v>
      </c>
      <c r="L431">
        <f>G431*K431</f>
        <v>12</v>
      </c>
    </row>
    <row r="432">
      <c r="A432" t="str">
        <v>IT-08</v>
      </c>
      <c r="B432" t="str">
        <v>item</v>
      </c>
      <c r="C432" t="str">
        <v>CRUSHING HAMMER</v>
      </c>
      <c r="D432" t="str">
        <v>F 125/159</v>
      </c>
      <c r="E432" t="str">
        <v>normal</v>
      </c>
      <c r="F432" t="str">
        <v>HCM</v>
      </c>
      <c r="G432">
        <v>3</v>
      </c>
      <c r="H432">
        <v>28</v>
      </c>
      <c r="K432">
        <f>J432+H432-I432</f>
        <v>28</v>
      </c>
      <c r="L432">
        <f>G432*K432</f>
        <v>84</v>
      </c>
    </row>
    <row r="433">
      <c r="A433" t="str">
        <v>IT-08</v>
      </c>
      <c r="B433" t="str">
        <v>item</v>
      </c>
      <c r="C433" t="str">
        <v>CRUSHING HAMMER</v>
      </c>
      <c r="D433" t="str">
        <v>SVI 168/198</v>
      </c>
      <c r="E433" t="str">
        <v>normal</v>
      </c>
      <c r="F433" t="str">
        <v>HCM</v>
      </c>
      <c r="G433">
        <v>3</v>
      </c>
      <c r="H433">
        <v>6</v>
      </c>
      <c r="K433">
        <f>J433+H433-I433</f>
        <v>6</v>
      </c>
      <c r="L433">
        <f>G433*K433</f>
        <v>18</v>
      </c>
    </row>
    <row r="434">
      <c r="A434" t="str">
        <v>IT-08</v>
      </c>
      <c r="B434" t="str">
        <v>item</v>
      </c>
      <c r="C434" t="str">
        <v>CRUSHING HAMMER</v>
      </c>
      <c r="D434" t="str">
        <v>SVI 168/198</v>
      </c>
      <c r="E434" t="str">
        <v>holo</v>
      </c>
      <c r="F434" t="str">
        <v>HCM</v>
      </c>
      <c r="G434">
        <v>4</v>
      </c>
      <c r="H434">
        <v>2</v>
      </c>
    </row>
    <row r="435">
      <c r="A435" t="str">
        <v>IT-08</v>
      </c>
      <c r="B435" t="str">
        <v>item</v>
      </c>
      <c r="C435" t="str">
        <v>CRUSHING HAMMER</v>
      </c>
      <c r="D435" t="str">
        <v>POR  071/088</v>
      </c>
      <c r="E435" t="str">
        <v>normal</v>
      </c>
      <c r="F435" t="str">
        <v>HCM</v>
      </c>
      <c r="G435">
        <v>3</v>
      </c>
      <c r="H435">
        <v>14</v>
      </c>
    </row>
    <row r="436">
      <c r="A436" t="str">
        <v>IT-08</v>
      </c>
      <c r="B436" t="str">
        <v>item</v>
      </c>
      <c r="C436" t="str">
        <v>CRUSHING HAMMER</v>
      </c>
      <c r="D436" t="str">
        <v>POR  071/088</v>
      </c>
      <c r="E436" t="str">
        <v>holo</v>
      </c>
      <c r="F436" t="str">
        <v>HCM</v>
      </c>
      <c r="G436">
        <v>4</v>
      </c>
      <c r="H436">
        <v>1</v>
      </c>
    </row>
    <row r="437">
      <c r="A437" t="str">
        <v>SUP-04</v>
      </c>
      <c r="B437" t="str">
        <v>suppoter</v>
      </c>
      <c r="C437" t="str">
        <v>BRIAR</v>
      </c>
      <c r="D437" t="str">
        <v>SCR  132/142</v>
      </c>
      <c r="E437" t="str">
        <v>normal</v>
      </c>
      <c r="F437" t="str">
        <v>HCM</v>
      </c>
      <c r="G437">
        <v>3</v>
      </c>
      <c r="H437">
        <v>22</v>
      </c>
      <c r="K437">
        <f>J437+H437-I437</f>
        <v>22</v>
      </c>
      <c r="L437">
        <f>G437*K437</f>
        <v>66</v>
      </c>
    </row>
    <row r="438">
      <c r="A438" t="str">
        <v>SUP-04</v>
      </c>
      <c r="B438" t="str">
        <v>suppoter</v>
      </c>
      <c r="C438" t="str">
        <v>BRIAR</v>
      </c>
      <c r="D438" t="str">
        <v>PRE 100/131</v>
      </c>
      <c r="E438" t="str">
        <v>normal</v>
      </c>
      <c r="F438" t="str">
        <v>HCM</v>
      </c>
      <c r="G438">
        <v>3</v>
      </c>
      <c r="H438">
        <v>21</v>
      </c>
      <c r="K438">
        <f>J438+H438-I438</f>
        <v>21</v>
      </c>
      <c r="L438">
        <f>G438*K438</f>
        <v>63</v>
      </c>
    </row>
    <row r="439">
      <c r="A439" t="str">
        <v>SUP-04</v>
      </c>
      <c r="B439" t="str">
        <v>suppoter</v>
      </c>
      <c r="C439" t="str">
        <v>BRIAR</v>
      </c>
      <c r="D439" t="str">
        <v>PRE 100/131</v>
      </c>
      <c r="E439" t="str">
        <v>holo</v>
      </c>
      <c r="F439" t="str">
        <v>HCM</v>
      </c>
      <c r="G439">
        <v>5</v>
      </c>
      <c r="H439">
        <v>1</v>
      </c>
      <c r="K439">
        <f>J439+H439-I439</f>
        <v>1</v>
      </c>
      <c r="L439">
        <f>G439*K439</f>
        <v>5</v>
      </c>
    </row>
    <row r="440">
      <c r="A440" t="str">
        <v>SUP-35</v>
      </c>
      <c r="B440" t="str">
        <v>suppoter</v>
      </c>
      <c r="C440" t="str">
        <v>PROFESSOR TURO'S SCENARIO</v>
      </c>
      <c r="D440" t="str">
        <v>PAR EN 171/182</v>
      </c>
      <c r="E440" t="str">
        <v>normal</v>
      </c>
      <c r="F440" t="str">
        <v>HCM</v>
      </c>
      <c r="G440">
        <v>3</v>
      </c>
      <c r="H440">
        <v>3</v>
      </c>
      <c r="K440">
        <f>J440+H440-I440</f>
        <v>3</v>
      </c>
      <c r="L440">
        <f>G440*K440</f>
        <v>9</v>
      </c>
    </row>
    <row r="441">
      <c r="A441" t="str">
        <v>SUP-35</v>
      </c>
      <c r="B441" t="str">
        <v>suppoter</v>
      </c>
      <c r="C441" t="str">
        <v>PROFESSOR TURO'S SCENARIO</v>
      </c>
      <c r="D441" t="str">
        <v>PRE EN 121/131</v>
      </c>
      <c r="E441" t="str">
        <v>normal</v>
      </c>
      <c r="F441" t="str">
        <v>HCM</v>
      </c>
      <c r="G441">
        <v>3</v>
      </c>
      <c r="H441">
        <v>2</v>
      </c>
      <c r="K441">
        <f>J441+H441-I441</f>
        <v>2</v>
      </c>
      <c r="L441">
        <f>G441*K441</f>
        <v>6</v>
      </c>
    </row>
    <row r="442">
      <c r="A442" t="str">
        <v>PC-SUP-005</v>
      </c>
      <c r="B442" t="str">
        <v>suppoter</v>
      </c>
      <c r="C442" t="str">
        <v>PROFESSOR TURO'S SCENARIO</v>
      </c>
      <c r="D442" t="str">
        <v>PAR EN 171/182</v>
      </c>
      <c r="E442" t="str">
        <v>prize card</v>
      </c>
      <c r="F442" t="str">
        <v>HCM</v>
      </c>
      <c r="G442">
        <v>3</v>
      </c>
      <c r="H442">
        <v>1</v>
      </c>
      <c r="K442">
        <f>J442+H442-I442</f>
        <v>1</v>
      </c>
      <c r="L442">
        <f>G442*K442</f>
        <v>3</v>
      </c>
    </row>
    <row r="443">
      <c r="B443" t="str">
        <v>item</v>
      </c>
      <c r="C443" t="str">
        <v>DUSH BALL</v>
      </c>
      <c r="D443" t="str">
        <v>SSP 175/191</v>
      </c>
      <c r="E443" t="str">
        <v>normal</v>
      </c>
      <c r="F443" t="str">
        <v>HCM</v>
      </c>
      <c r="G443">
        <v>2</v>
      </c>
      <c r="H443">
        <v>2</v>
      </c>
      <c r="K443">
        <f>J443+H443-I443</f>
        <v>2</v>
      </c>
      <c r="L443">
        <f>G443*K443</f>
        <v>4</v>
      </c>
    </row>
    <row r="444">
      <c r="B444" t="str">
        <v>suppoter</v>
      </c>
      <c r="C444" t="str">
        <v>SURFER</v>
      </c>
      <c r="D444" t="str">
        <v>SSP 187/191</v>
      </c>
      <c r="E444" t="str">
        <v>normal</v>
      </c>
      <c r="F444" t="str">
        <v>HCM</v>
      </c>
      <c r="G444">
        <v>4</v>
      </c>
      <c r="H444">
        <v>16</v>
      </c>
      <c r="K444">
        <f>J444+H444-I444</f>
        <v>16</v>
      </c>
      <c r="L444">
        <f>G444*K444</f>
        <v>64</v>
      </c>
    </row>
    <row r="445">
      <c r="A445" t="str">
        <v>IT-52</v>
      </c>
      <c r="B445" t="str">
        <v>item</v>
      </c>
      <c r="C445" t="str">
        <v>SPONGY GLOVES</v>
      </c>
      <c r="D445" t="str">
        <v>E 243/264</v>
      </c>
      <c r="E445" t="str">
        <v>holo</v>
      </c>
      <c r="F445" t="str">
        <v>HCM</v>
      </c>
      <c r="G445">
        <v>3</v>
      </c>
      <c r="H445">
        <v>1</v>
      </c>
      <c r="K445">
        <f>J445+H445-I445</f>
        <v>1</v>
      </c>
      <c r="L445">
        <f>G445*K445</f>
        <v>3</v>
      </c>
    </row>
    <row r="446">
      <c r="A446" t="str">
        <v>PO-W-11</v>
      </c>
      <c r="B446" t="str">
        <v>pokemon</v>
      </c>
      <c r="C446" t="str">
        <v xml:space="preserve">ESCAVALIER </v>
      </c>
      <c r="D446" t="str">
        <v>F 101/172</v>
      </c>
      <c r="E446" t="str">
        <v>holo</v>
      </c>
      <c r="F446" t="str">
        <v>HCM</v>
      </c>
      <c r="G446">
        <v>3</v>
      </c>
      <c r="H446">
        <v>1</v>
      </c>
      <c r="K446">
        <f>J446+H446-I446</f>
        <v>1</v>
      </c>
      <c r="L446">
        <f>G446*K446</f>
        <v>3</v>
      </c>
    </row>
    <row r="447">
      <c r="A447" t="str">
        <v>PO-R-07</v>
      </c>
      <c r="B447" t="str">
        <v>pokemon</v>
      </c>
      <c r="C447" t="str">
        <v>CLAYDOL</v>
      </c>
      <c r="D447" t="str">
        <v>?+20</v>
      </c>
      <c r="E447" t="str">
        <v>holo</v>
      </c>
      <c r="F447" t="str">
        <v>HCM</v>
      </c>
      <c r="G447">
        <v>3</v>
      </c>
      <c r="H447">
        <v>1</v>
      </c>
      <c r="K447">
        <f>J447+H447-I447</f>
        <v>1</v>
      </c>
      <c r="L447">
        <f>G447*K447</f>
        <v>3</v>
      </c>
    </row>
    <row r="448">
      <c r="B448" t="str">
        <v>pokemon</v>
      </c>
      <c r="C448" t="str">
        <v>INCINEROAR</v>
      </c>
      <c r="D448" t="str">
        <v>TEF EN 034/162</v>
      </c>
      <c r="E448" t="str">
        <v>holo</v>
      </c>
      <c r="F448" t="str">
        <v>HCM</v>
      </c>
      <c r="G448">
        <v>3</v>
      </c>
      <c r="H448">
        <v>1</v>
      </c>
      <c r="K448">
        <f>J448+H448-I448</f>
        <v>1</v>
      </c>
      <c r="L448">
        <f>G448*K448</f>
        <v>3</v>
      </c>
    </row>
    <row r="449">
      <c r="A449" t="str">
        <v>SPE-06</v>
      </c>
      <c r="B449" t="str">
        <v>special energy</v>
      </c>
      <c r="C449" t="str">
        <v>REVERSAL ENERGY</v>
      </c>
      <c r="D449" t="str">
        <v>PAL EN 192/193</v>
      </c>
      <c r="E449" t="str">
        <v>normal</v>
      </c>
      <c r="F449" t="str">
        <v>HCM</v>
      </c>
      <c r="G449">
        <v>6</v>
      </c>
      <c r="H449">
        <v>3</v>
      </c>
      <c r="K449">
        <f>J449+H449-I449</f>
        <v>3</v>
      </c>
      <c r="L449">
        <f>G449*K449</f>
        <v>18</v>
      </c>
    </row>
    <row r="450">
      <c r="A450" t="str">
        <v>IT-12</v>
      </c>
      <c r="B450" t="str">
        <v>item</v>
      </c>
      <c r="C450" t="str">
        <v>EARTHEN VESSEL</v>
      </c>
      <c r="D450" t="str">
        <v>PAR EN 163/182</v>
      </c>
      <c r="E450" t="str">
        <v>normal</v>
      </c>
      <c r="F450" t="str">
        <v>HCM</v>
      </c>
      <c r="G450">
        <v>3</v>
      </c>
      <c r="H450">
        <v>4</v>
      </c>
      <c r="K450">
        <f>J450+H450-I450</f>
        <v>4</v>
      </c>
      <c r="L450">
        <f>G450*K450</f>
        <v>12</v>
      </c>
    </row>
    <row r="451">
      <c r="A451" t="str">
        <v>PC-IT-03</v>
      </c>
      <c r="B451" t="str">
        <v>item</v>
      </c>
      <c r="C451" t="str">
        <v>EARTHEN VESSEL</v>
      </c>
      <c r="D451" t="str">
        <v>PAR EN 163/182</v>
      </c>
      <c r="E451" t="str">
        <v>holo prize card</v>
      </c>
      <c r="F451" t="str">
        <v>HCM</v>
      </c>
      <c r="G451">
        <v>14</v>
      </c>
      <c r="H451">
        <v>1</v>
      </c>
      <c r="K451">
        <f>J451+H451-I451</f>
        <v>1</v>
      </c>
      <c r="L451">
        <f>G451*K451</f>
        <v>14</v>
      </c>
    </row>
    <row r="452">
      <c r="A452" t="str">
        <v>PC-IT-03</v>
      </c>
      <c r="B452" t="str">
        <v>item</v>
      </c>
      <c r="C452" t="str">
        <v>EARTHEN VESSEL</v>
      </c>
      <c r="D452" t="str">
        <v>PAR EN 163/182</v>
      </c>
      <c r="E452" t="str">
        <v>prize card</v>
      </c>
      <c r="F452" t="str">
        <v>HCM</v>
      </c>
      <c r="G452">
        <v>3</v>
      </c>
      <c r="H452">
        <v>1</v>
      </c>
      <c r="K452">
        <f>J452+H452-I452</f>
        <v>1</v>
      </c>
      <c r="L452">
        <f>G452*K452</f>
        <v>3</v>
      </c>
    </row>
    <row r="453">
      <c r="A453" t="str">
        <v>IT-12</v>
      </c>
      <c r="B453" t="str">
        <v>item</v>
      </c>
      <c r="C453" t="str">
        <v>EARTHEN VESSEL</v>
      </c>
      <c r="D453" t="str">
        <v>PRE EN 106/131</v>
      </c>
      <c r="E453" t="str">
        <v>normal</v>
      </c>
      <c r="F453" t="str">
        <v>HCM</v>
      </c>
      <c r="G453">
        <v>3</v>
      </c>
      <c r="H453">
        <v>2</v>
      </c>
      <c r="K453">
        <f>J453+H454-I453</f>
        <v>2</v>
      </c>
      <c r="L453">
        <f>G453*K453</f>
        <v>6</v>
      </c>
    </row>
    <row r="454">
      <c r="A454" t="str">
        <v>STA-17</v>
      </c>
      <c r="B454" t="str">
        <v>stadium</v>
      </c>
      <c r="C454" t="str">
        <v xml:space="preserve">Mystery Garden </v>
      </c>
      <c r="D454" t="str">
        <v>MEG 122/132</v>
      </c>
      <c r="E454" t="str">
        <v>normal</v>
      </c>
      <c r="F454" t="str">
        <v>HCM</v>
      </c>
      <c r="G454">
        <v>4</v>
      </c>
      <c r="H454">
        <v>2</v>
      </c>
      <c r="K454">
        <f>J454+H455-I454</f>
        <v>1</v>
      </c>
      <c r="L454">
        <f>G454*K454</f>
        <v>4</v>
      </c>
    </row>
    <row r="455">
      <c r="A455" t="str">
        <v>STA-17</v>
      </c>
      <c r="B455" t="str">
        <v>stadium</v>
      </c>
      <c r="C455" t="str">
        <v xml:space="preserve">Mystery Garden </v>
      </c>
      <c r="D455" t="str">
        <v>MEG 122/132</v>
      </c>
      <c r="E455" t="str">
        <v>holo</v>
      </c>
      <c r="F455" t="str">
        <v>HCM</v>
      </c>
      <c r="G455">
        <v>4</v>
      </c>
      <c r="H455">
        <v>1</v>
      </c>
      <c r="K455">
        <f>J455+H455-I455</f>
        <v>1</v>
      </c>
      <c r="L455">
        <f>G455*K455</f>
        <v>4</v>
      </c>
    </row>
    <row r="456">
      <c r="A456" t="str">
        <v>PC-STA-03</v>
      </c>
      <c r="B456" t="str">
        <v>stadium</v>
      </c>
      <c r="C456" t="str">
        <v xml:space="preserve">Mystery Garden </v>
      </c>
      <c r="D456" t="str">
        <v>MEG 122/132</v>
      </c>
      <c r="E456" t="str">
        <v>prize card</v>
      </c>
      <c r="F456" t="str">
        <v>HCM</v>
      </c>
      <c r="G456">
        <v>4</v>
      </c>
      <c r="H456">
        <v>1</v>
      </c>
      <c r="K456">
        <f>J456+H456-I456</f>
        <v>1</v>
      </c>
      <c r="L456">
        <f>G456*K456</f>
        <v>4</v>
      </c>
    </row>
    <row r="457">
      <c r="A457" t="str">
        <v>SUP-26</v>
      </c>
      <c r="B457" t="str">
        <v>suppoter</v>
      </c>
      <c r="C457" t="str">
        <v>IONO</v>
      </c>
      <c r="D457" t="str">
        <v>PAF 080/091</v>
      </c>
      <c r="E457" t="str">
        <v>normal</v>
      </c>
      <c r="F457" t="str">
        <v>HCM</v>
      </c>
      <c r="G457">
        <v>4</v>
      </c>
      <c r="H457">
        <v>10</v>
      </c>
      <c r="K457">
        <f>J457+H457-I457</f>
        <v>10</v>
      </c>
      <c r="L457">
        <f>G457*K457</f>
        <v>40</v>
      </c>
    </row>
    <row r="458">
      <c r="A458" t="str">
        <v>SUP-26</v>
      </c>
      <c r="B458" t="str">
        <v>suppoter</v>
      </c>
      <c r="C458" t="str">
        <v>IONO</v>
      </c>
      <c r="D458" t="str">
        <v>PAL 185/193</v>
      </c>
      <c r="E458" t="str">
        <v>normal</v>
      </c>
      <c r="F458" t="str">
        <v>HCM</v>
      </c>
      <c r="G458">
        <v>4</v>
      </c>
      <c r="H458">
        <v>5</v>
      </c>
      <c r="K458">
        <f>J458+H458-I458</f>
        <v>5</v>
      </c>
      <c r="L458">
        <f>G458*K458</f>
        <v>20</v>
      </c>
    </row>
    <row r="459">
      <c r="A459" t="str">
        <v>IT-46</v>
      </c>
      <c r="B459" t="str">
        <v>item</v>
      </c>
      <c r="C459" t="str">
        <v>TOOL SCRAPPER</v>
      </c>
      <c r="D459" t="str">
        <v>WHT 85/86</v>
      </c>
      <c r="E459" t="str">
        <v>holo</v>
      </c>
      <c r="F459" t="str">
        <v>HCM</v>
      </c>
      <c r="G459">
        <v>8</v>
      </c>
      <c r="H459">
        <v>3</v>
      </c>
      <c r="K459">
        <f>J459+H459-I459</f>
        <v>3</v>
      </c>
      <c r="L459">
        <f>G459*K459</f>
        <v>24</v>
      </c>
    </row>
    <row r="460">
      <c r="A460" t="str">
        <v>IT-46</v>
      </c>
      <c r="B460" t="str">
        <v>item</v>
      </c>
      <c r="C460" t="str">
        <v>TOOL SCRAPPER</v>
      </c>
      <c r="D460" t="str">
        <v>WHT 85/86</v>
      </c>
      <c r="E460" t="str">
        <v>normal</v>
      </c>
      <c r="F460" t="str">
        <v>HCM</v>
      </c>
      <c r="G460">
        <v>7</v>
      </c>
      <c r="H460">
        <v>20</v>
      </c>
      <c r="K460">
        <f>J460+H460-I460</f>
        <v>20</v>
      </c>
      <c r="L460">
        <f>G460*K460</f>
        <v>140</v>
      </c>
    </row>
    <row r="461">
      <c r="A461" t="str">
        <v>TO-32</v>
      </c>
      <c r="B461" t="str">
        <v>tool</v>
      </c>
      <c r="C461" t="str">
        <v xml:space="preserve">Air Ballon  </v>
      </c>
      <c r="D461" t="str">
        <v>BLK EN 079/086</v>
      </c>
      <c r="E461" t="str">
        <v>holo</v>
      </c>
      <c r="F461" t="str">
        <v>HCM</v>
      </c>
      <c r="G461">
        <v>12</v>
      </c>
      <c r="H461">
        <v>2</v>
      </c>
      <c r="K461">
        <f>J461+H461-I461</f>
        <v>2</v>
      </c>
      <c r="L461">
        <f>G461*K461</f>
        <v>24</v>
      </c>
    </row>
    <row r="462">
      <c r="A462" t="str">
        <v>TO-32</v>
      </c>
      <c r="B462" t="str">
        <v>tool</v>
      </c>
      <c r="C462" t="str">
        <v xml:space="preserve">Air Ballon  </v>
      </c>
      <c r="D462" t="str">
        <v>BLK EN 079/086</v>
      </c>
      <c r="E462" t="str">
        <v>normal</v>
      </c>
      <c r="F462" t="str">
        <v>HCM</v>
      </c>
      <c r="G462">
        <v>10</v>
      </c>
      <c r="H462">
        <v>3</v>
      </c>
      <c r="K462">
        <f>J462+H462-I462</f>
        <v>3</v>
      </c>
      <c r="L462">
        <f>G462*K462</f>
        <v>30</v>
      </c>
    </row>
    <row r="463">
      <c r="A463" t="str">
        <v>SUP-23</v>
      </c>
      <c r="B463" t="str">
        <v>suppoter</v>
      </c>
      <c r="C463" t="str">
        <v>GRIMSLEY'S MOVE</v>
      </c>
      <c r="D463" t="str">
        <v>PFL EN 090/094</v>
      </c>
      <c r="E463" t="str">
        <v>normal</v>
      </c>
      <c r="F463" t="str">
        <v>HCM</v>
      </c>
      <c r="G463">
        <v>3</v>
      </c>
      <c r="H463">
        <v>11</v>
      </c>
      <c r="K463">
        <f>J463+H463-I463</f>
        <v>11</v>
      </c>
      <c r="L463">
        <f>G463*K463</f>
        <v>33</v>
      </c>
    </row>
    <row r="464">
      <c r="A464" t="str">
        <v>SUP-23</v>
      </c>
      <c r="B464" t="str">
        <v>suppoter</v>
      </c>
      <c r="C464" t="str">
        <v>GRIMSLEY'S MOVE</v>
      </c>
      <c r="D464" t="str">
        <v>PFL EN 090/094</v>
      </c>
      <c r="E464" t="str">
        <v>holo</v>
      </c>
      <c r="F464" t="str">
        <v>HCM</v>
      </c>
      <c r="G464">
        <v>5</v>
      </c>
      <c r="H464">
        <v>5</v>
      </c>
      <c r="K464">
        <f>J464+H464-I464</f>
        <v>5</v>
      </c>
      <c r="L464">
        <f>G464*K464</f>
        <v>25</v>
      </c>
    </row>
    <row r="465">
      <c r="B465" t="str">
        <v>stadium</v>
      </c>
      <c r="C465" t="str">
        <v>Dizzying Valley</v>
      </c>
      <c r="D465" t="str">
        <v>PFL EN 088/094</v>
      </c>
      <c r="E465" t="str">
        <v>normal</v>
      </c>
      <c r="F465" t="str">
        <v>HCM</v>
      </c>
      <c r="G465">
        <v>2</v>
      </c>
      <c r="H465">
        <v>2</v>
      </c>
      <c r="K465">
        <f>J465+H465-I465</f>
        <v>2</v>
      </c>
      <c r="L465">
        <f>G465*K465</f>
        <v>4</v>
      </c>
    </row>
    <row r="466">
      <c r="B466" t="str">
        <v>stadium</v>
      </c>
      <c r="C466" t="str">
        <v>Dizzying Valley</v>
      </c>
      <c r="D466" t="str">
        <v>PFL EN 088/094</v>
      </c>
      <c r="E466" t="str">
        <v>holo</v>
      </c>
      <c r="F466" t="str">
        <v>HCM</v>
      </c>
      <c r="G466">
        <v>3</v>
      </c>
      <c r="H466">
        <v>1</v>
      </c>
      <c r="K466">
        <f>J466+H466-I466</f>
        <v>1</v>
      </c>
      <c r="L466">
        <f>G466*K466</f>
        <v>3</v>
      </c>
    </row>
    <row r="467">
      <c r="A467" t="str">
        <v>STA-22</v>
      </c>
      <c r="B467" t="str">
        <v>stadium</v>
      </c>
      <c r="C467" t="str">
        <v>PERILOUS JUNGLE</v>
      </c>
      <c r="D467" t="str">
        <v>TEF EN 156/162</v>
      </c>
      <c r="E467" t="str">
        <v>normal</v>
      </c>
      <c r="F467" t="str">
        <v>HCM</v>
      </c>
      <c r="G467">
        <v>3</v>
      </c>
      <c r="H467">
        <v>6</v>
      </c>
      <c r="K467">
        <f>J467+H467-I467</f>
        <v>6</v>
      </c>
      <c r="L467">
        <f>G467*K467</f>
        <v>18</v>
      </c>
    </row>
    <row r="468">
      <c r="A468" t="str">
        <v>PC-STA-04</v>
      </c>
      <c r="B468" t="str">
        <v>stadium</v>
      </c>
      <c r="C468" t="str">
        <v>PERILOUS JUNGLE</v>
      </c>
      <c r="D468" t="str">
        <v>TEF EN 156/162</v>
      </c>
      <c r="E468" t="str">
        <v>holo prize card</v>
      </c>
      <c r="F468" t="str">
        <v>HCM</v>
      </c>
      <c r="G468">
        <v>8</v>
      </c>
      <c r="H468">
        <v>1</v>
      </c>
      <c r="K468">
        <f>J468+H468-I468</f>
        <v>1</v>
      </c>
      <c r="L468">
        <f>G468*K468</f>
        <v>8</v>
      </c>
    </row>
    <row r="469">
      <c r="A469" t="str">
        <v>TO-11</v>
      </c>
      <c r="B469" t="str">
        <v>tool</v>
      </c>
      <c r="C469" t="str">
        <v>FUTURE BOOSTER ENERGY CAPSULE</v>
      </c>
      <c r="D469" t="str">
        <v>TEF EN 149/162</v>
      </c>
      <c r="E469" t="str">
        <v>normal</v>
      </c>
      <c r="F469" t="str">
        <v>HCM</v>
      </c>
      <c r="G469">
        <v>3</v>
      </c>
      <c r="H469">
        <v>11</v>
      </c>
      <c r="K469">
        <f>J469+H469-I469</f>
        <v>11</v>
      </c>
      <c r="L469">
        <f>G469*K469</f>
        <v>33</v>
      </c>
    </row>
    <row r="470">
      <c r="A470" t="str">
        <v>TO-11</v>
      </c>
      <c r="B470" t="str">
        <v>tool</v>
      </c>
      <c r="C470" t="str">
        <v>FUTURE BOOSTER ENERGY CAPSULE</v>
      </c>
      <c r="D470" t="str">
        <v>PAR 164/182</v>
      </c>
      <c r="E470" t="str">
        <v>holo</v>
      </c>
      <c r="F470" t="str">
        <v>HCM</v>
      </c>
      <c r="G470">
        <v>4</v>
      </c>
      <c r="H470">
        <v>1</v>
      </c>
      <c r="K470">
        <f>J470+H470-I470</f>
        <v>1</v>
      </c>
    </row>
    <row r="471">
      <c r="A471" t="str">
        <v>TO-11</v>
      </c>
      <c r="B471" t="str">
        <v>tool</v>
      </c>
      <c r="C471" t="str">
        <v>FUTURE BOOSTER ENERGY CAPSULE</v>
      </c>
      <c r="D471" t="str">
        <v>PAR 164/182</v>
      </c>
      <c r="E471" t="str">
        <v>normal</v>
      </c>
      <c r="F471" t="str">
        <v>HCM</v>
      </c>
      <c r="G471">
        <v>3</v>
      </c>
      <c r="H471">
        <v>4</v>
      </c>
      <c r="K471">
        <f>J471+H471-I471</f>
        <v>4</v>
      </c>
    </row>
    <row r="472">
      <c r="A472" t="str">
        <v>PC-TO-07</v>
      </c>
      <c r="B472" t="str">
        <v>tool</v>
      </c>
      <c r="C472" t="str">
        <v>FUTURE BOOSTER ENERGY CAPSULE</v>
      </c>
      <c r="D472" t="str">
        <v>PAR 164/182</v>
      </c>
      <c r="E472" t="str">
        <v>prize card</v>
      </c>
      <c r="F472" t="str">
        <v>HCM</v>
      </c>
      <c r="G472">
        <v>6</v>
      </c>
      <c r="H472">
        <v>1</v>
      </c>
      <c r="K472">
        <f>J472+H472-I472</f>
        <v>1</v>
      </c>
    </row>
    <row r="473">
      <c r="A473" t="str">
        <v>IT-53</v>
      </c>
      <c r="B473" t="str">
        <v>item</v>
      </c>
      <c r="C473" t="str">
        <v>STRANGE TIMEPIECE</v>
      </c>
      <c r="D473" t="str">
        <v>MEG 128/132</v>
      </c>
      <c r="E473" t="str">
        <v>normal</v>
      </c>
      <c r="F473" t="str">
        <v>HCM</v>
      </c>
      <c r="G473">
        <v>3</v>
      </c>
      <c r="H473">
        <v>3</v>
      </c>
      <c r="K473">
        <f>J473+H473-I473</f>
        <v>3</v>
      </c>
      <c r="L473">
        <f>G473*K473</f>
        <v>9</v>
      </c>
    </row>
    <row r="474">
      <c r="A474" t="str">
        <v>STA-04</v>
      </c>
      <c r="B474" t="str">
        <v>stadium</v>
      </c>
      <c r="C474" t="str">
        <v xml:space="preserve">Battle Cage </v>
      </c>
      <c r="D474" t="str">
        <v>PFL EN 085/094</v>
      </c>
      <c r="E474" t="str">
        <v>normal</v>
      </c>
      <c r="F474" t="str">
        <v>HCM</v>
      </c>
      <c r="G474">
        <v>4</v>
      </c>
      <c r="H474">
        <v>3</v>
      </c>
      <c r="K474">
        <f>J474+H474-I474</f>
        <v>3</v>
      </c>
      <c r="L474">
        <f>G474*K474</f>
        <v>12</v>
      </c>
    </row>
    <row r="475">
      <c r="A475" t="str">
        <v xml:space="preserve"> STA-04</v>
      </c>
      <c r="B475" t="str">
        <v>stadium</v>
      </c>
      <c r="C475" t="str">
        <v xml:space="preserve">Battle Cage </v>
      </c>
      <c r="D475" t="str">
        <v>PFL EN 085/094</v>
      </c>
      <c r="E475" t="str">
        <v>holo</v>
      </c>
      <c r="F475" t="str">
        <v>HCM</v>
      </c>
      <c r="G475">
        <v>5</v>
      </c>
      <c r="H475">
        <v>1</v>
      </c>
      <c r="K475">
        <f>J475+H475-I475</f>
        <v>1</v>
      </c>
      <c r="L475">
        <f>G475*K475</f>
        <v>5</v>
      </c>
    </row>
    <row r="476">
      <c r="A476" t="str">
        <v>IT-17A</v>
      </c>
      <c r="B476" t="str">
        <v>item</v>
      </c>
      <c r="C476" t="str">
        <v>ENERGY SEARCH</v>
      </c>
      <c r="D476" t="str">
        <v>MEG EN 115/132</v>
      </c>
      <c r="E476" t="str">
        <v>normal</v>
      </c>
      <c r="F476" t="str">
        <v>HCM</v>
      </c>
      <c r="G476">
        <v>4</v>
      </c>
      <c r="H476">
        <v>1</v>
      </c>
      <c r="K476">
        <f>J476+H476-I476</f>
        <v>1</v>
      </c>
      <c r="L476">
        <f>G476*K476</f>
        <v>4</v>
      </c>
    </row>
    <row r="477">
      <c r="A477" t="str">
        <v>TO-22b</v>
      </c>
      <c r="B477" t="str">
        <v>tool</v>
      </c>
      <c r="C477" t="str">
        <v>Punk Helmet</v>
      </c>
      <c r="D477" t="str">
        <v>PFL EN 092/094</v>
      </c>
      <c r="E477" t="str">
        <v>normal</v>
      </c>
      <c r="F477" t="str">
        <v>HCM</v>
      </c>
      <c r="G477">
        <v>4</v>
      </c>
      <c r="H477">
        <v>44</v>
      </c>
      <c r="K477">
        <f>J477+H477-I477</f>
        <v>44</v>
      </c>
      <c r="L477">
        <f>G477*K477</f>
        <v>176</v>
      </c>
    </row>
    <row r="478">
      <c r="A478" t="str">
        <v>TO-22a</v>
      </c>
      <c r="B478" t="str">
        <v>tool</v>
      </c>
      <c r="C478" t="str">
        <v>Punk Helmet</v>
      </c>
      <c r="D478" t="str">
        <v>PFL EN 092/094</v>
      </c>
      <c r="E478" t="str">
        <v>holo</v>
      </c>
      <c r="F478" t="str">
        <v>HCM</v>
      </c>
      <c r="G478">
        <v>5</v>
      </c>
      <c r="H478">
        <v>12</v>
      </c>
      <c r="K478">
        <f>J478+H478-I478</f>
        <v>12</v>
      </c>
      <c r="L478">
        <f>G478*K478</f>
        <v>60</v>
      </c>
    </row>
    <row r="479">
      <c r="A479" t="str">
        <v>TO-10</v>
      </c>
      <c r="B479" t="str">
        <v>tool</v>
      </c>
      <c r="C479" t="str">
        <v>ANCIENT BOOSTER ENERGY CAPSULE</v>
      </c>
      <c r="D479" t="str">
        <v>TEF 140/162</v>
      </c>
      <c r="E479" t="str">
        <v>normal</v>
      </c>
      <c r="F479" t="str">
        <v>HCM</v>
      </c>
      <c r="G479">
        <v>3</v>
      </c>
      <c r="H479">
        <f>2+6+4</f>
        <v>12</v>
      </c>
      <c r="K479">
        <f>J479+H479-I479</f>
        <v>12</v>
      </c>
      <c r="L479">
        <f>G479*K479</f>
        <v>36</v>
      </c>
    </row>
    <row r="480">
      <c r="A480" t="str">
        <v>TO-10</v>
      </c>
      <c r="B480" t="str">
        <v>tool</v>
      </c>
      <c r="C480" t="str">
        <v>ANCIENT BOOSTER ENERGY CAPSULE</v>
      </c>
      <c r="D480" t="str">
        <v>PAR 159/182</v>
      </c>
      <c r="E480" t="str">
        <v>normal</v>
      </c>
      <c r="F480" t="str">
        <v>HCM</v>
      </c>
      <c r="G480">
        <v>3</v>
      </c>
      <c r="H480">
        <v>5</v>
      </c>
      <c r="K480">
        <f>J480+H480-I480</f>
        <v>5</v>
      </c>
    </row>
    <row r="481">
      <c r="A481" t="str">
        <v>PC-TO-04</v>
      </c>
      <c r="B481" t="str">
        <v>tool</v>
      </c>
      <c r="C481" t="str">
        <v>ANCIENT BOOSTER ENERGY CAPSULE</v>
      </c>
      <c r="D481" t="str">
        <v>PAR 159/182</v>
      </c>
      <c r="E481" t="str">
        <v>prize card</v>
      </c>
      <c r="F481" t="str">
        <v>HCM</v>
      </c>
      <c r="G481">
        <v>3</v>
      </c>
      <c r="H481">
        <v>1</v>
      </c>
      <c r="K481">
        <f>J481+H481-I481</f>
        <v>1</v>
      </c>
    </row>
    <row r="482">
      <c r="A482" t="str">
        <v>STA-21</v>
      </c>
      <c r="B482" t="str">
        <v>stadium</v>
      </c>
      <c r="C482" t="str">
        <v>PRACTICE STUDIO</v>
      </c>
      <c r="D482" t="str">
        <v>PAL EN 186/193</v>
      </c>
      <c r="E482" t="str">
        <v>normal</v>
      </c>
      <c r="F482" t="str">
        <v>HCM</v>
      </c>
      <c r="G482">
        <v>3</v>
      </c>
      <c r="H482">
        <v>2</v>
      </c>
      <c r="K482">
        <f>J482+H482-I482</f>
        <v>2</v>
      </c>
      <c r="L482">
        <f>G482*K482</f>
        <v>6</v>
      </c>
    </row>
    <row r="483">
      <c r="A483" t="str">
        <v>IT-56</v>
      </c>
      <c r="B483" t="str">
        <v>item</v>
      </c>
      <c r="C483" t="str">
        <v>SWITCH</v>
      </c>
      <c r="D483" t="str">
        <v>shinning legend 67/73</v>
      </c>
      <c r="E483" t="str">
        <v>normal</v>
      </c>
      <c r="F483" t="str">
        <v>HCM</v>
      </c>
      <c r="G483">
        <v>5</v>
      </c>
      <c r="H483">
        <v>2</v>
      </c>
      <c r="K483">
        <f>J483+H483-I483</f>
        <v>2</v>
      </c>
      <c r="L483">
        <f>G483*K483</f>
        <v>10</v>
      </c>
    </row>
    <row r="484">
      <c r="A484" t="str">
        <v>IT-56</v>
      </c>
      <c r="B484" t="str">
        <v>item</v>
      </c>
      <c r="C484" t="str">
        <v>SWITCH</v>
      </c>
      <c r="D484" t="str">
        <v>sun and moon 132/149</v>
      </c>
      <c r="E484" t="str">
        <v>normal</v>
      </c>
      <c r="F484" t="str">
        <v>HCM</v>
      </c>
      <c r="G484">
        <v>5</v>
      </c>
      <c r="H484">
        <v>1</v>
      </c>
      <c r="K484">
        <f>J484+H484-I484</f>
        <v>1</v>
      </c>
      <c r="L484">
        <f>G484*K484</f>
        <v>5</v>
      </c>
    </row>
    <row r="485">
      <c r="A485" t="str">
        <v>IT-47</v>
      </c>
      <c r="B485" t="str">
        <v>item</v>
      </c>
      <c r="C485" t="str">
        <v>RARE CANDY</v>
      </c>
      <c r="D485" t="str">
        <v>D 180/202</v>
      </c>
      <c r="E485" t="str">
        <v>normal</v>
      </c>
      <c r="F485" t="str">
        <v>HCM</v>
      </c>
      <c r="G485">
        <v>5</v>
      </c>
      <c r="H485">
        <v>1</v>
      </c>
      <c r="K485">
        <f>J485+H485-I485</f>
        <v>1</v>
      </c>
    </row>
    <row r="486">
      <c r="A486" t="str">
        <v>IT-47</v>
      </c>
      <c r="B486" t="str">
        <v>item</v>
      </c>
      <c r="C486" t="str">
        <v>RARE CANDY</v>
      </c>
      <c r="D486" t="str">
        <v>F 141/159</v>
      </c>
      <c r="E486" t="str">
        <v>holo</v>
      </c>
      <c r="F486" t="str">
        <v>HCM</v>
      </c>
      <c r="G486">
        <v>7</v>
      </c>
      <c r="H486">
        <v>1</v>
      </c>
      <c r="K486">
        <f>J486+H486-I486</f>
        <v>1</v>
      </c>
    </row>
    <row r="487">
      <c r="A487" t="str">
        <v>IT-47</v>
      </c>
      <c r="B487" t="str">
        <v>item</v>
      </c>
      <c r="C487" t="str">
        <v>RARE CANDY</v>
      </c>
      <c r="D487" t="str">
        <v>celestial storm 142/168</v>
      </c>
      <c r="E487" t="str">
        <v>normal</v>
      </c>
      <c r="F487" t="str">
        <v>HCM</v>
      </c>
      <c r="G487">
        <v>10</v>
      </c>
      <c r="H487">
        <v>2</v>
      </c>
      <c r="K487">
        <f>J487+H487-I487</f>
        <v>2</v>
      </c>
    </row>
    <row r="488">
      <c r="A488" t="str">
        <v>IT-47</v>
      </c>
      <c r="B488" t="str">
        <v>item</v>
      </c>
      <c r="C488" t="str">
        <v>RARE CANDY</v>
      </c>
      <c r="D488" t="str">
        <v>sun and moon 129/149</v>
      </c>
      <c r="E488" t="str">
        <v>normal</v>
      </c>
      <c r="F488" t="str">
        <v>HCM</v>
      </c>
      <c r="G488">
        <v>6</v>
      </c>
      <c r="H488">
        <v>2</v>
      </c>
      <c r="K488">
        <f>J488+H488-I488</f>
        <v>2</v>
      </c>
    </row>
    <row r="489">
      <c r="B489" t="str">
        <v>stadium</v>
      </c>
      <c r="C489" t="str">
        <v>TOWN STORE</v>
      </c>
      <c r="D489" t="str">
        <v>OBF EN 196/197</v>
      </c>
      <c r="E489" t="str">
        <v>normal</v>
      </c>
      <c r="F489" t="str">
        <v>HCM</v>
      </c>
      <c r="G489">
        <v>3</v>
      </c>
      <c r="H489">
        <v>1</v>
      </c>
      <c r="K489">
        <f>J489+H489-I489</f>
        <v>1</v>
      </c>
      <c r="L489">
        <f>G489*K489</f>
        <v>3</v>
      </c>
    </row>
    <row r="490">
      <c r="A490" t="str">
        <v>TO-13</v>
      </c>
      <c r="B490" t="str">
        <v>tool</v>
      </c>
      <c r="C490" t="str">
        <v>HEAVY BATON</v>
      </c>
      <c r="D490" t="str">
        <v>TEF EN 151/162</v>
      </c>
      <c r="E490" t="str">
        <v>normal</v>
      </c>
      <c r="F490" t="str">
        <v>HCM</v>
      </c>
      <c r="G490">
        <v>3</v>
      </c>
      <c r="H490">
        <v>2</v>
      </c>
      <c r="K490">
        <f>J490+H490-I490</f>
        <v>2</v>
      </c>
      <c r="L490">
        <f>G490*K490</f>
        <v>6</v>
      </c>
    </row>
    <row r="491">
      <c r="A491" t="str">
        <v>PC-TO-08</v>
      </c>
      <c r="B491" t="str">
        <v>tool</v>
      </c>
      <c r="C491" t="str">
        <v>HEAVY BATON</v>
      </c>
      <c r="D491" t="str">
        <v>TEF EN 151/162</v>
      </c>
      <c r="E491" t="str">
        <v>prize card</v>
      </c>
      <c r="F491" t="str">
        <v>HCM</v>
      </c>
      <c r="G491">
        <v>3</v>
      </c>
      <c r="H491">
        <v>2</v>
      </c>
      <c r="K491">
        <f>J491+H491-I491</f>
        <v>2</v>
      </c>
      <c r="L491">
        <f>G491*K491</f>
        <v>6</v>
      </c>
    </row>
    <row r="492">
      <c r="A492" t="str">
        <v>TO-28</v>
      </c>
      <c r="B492" t="str">
        <v>tool</v>
      </c>
      <c r="C492" t="str">
        <v>SACRED CHARM</v>
      </c>
      <c r="D492" t="str">
        <v>PFL EN 093/094</v>
      </c>
      <c r="E492" t="str">
        <v>normal</v>
      </c>
      <c r="F492" t="str">
        <v>HCM</v>
      </c>
      <c r="G492">
        <v>3</v>
      </c>
      <c r="H492">
        <v>1</v>
      </c>
      <c r="K492">
        <f>J492+H492-I492</f>
        <v>1</v>
      </c>
      <c r="L492">
        <f>G492*K492</f>
        <v>3</v>
      </c>
    </row>
    <row r="493">
      <c r="A493" t="str">
        <v>TO-28</v>
      </c>
      <c r="B493" t="str">
        <v>tool</v>
      </c>
      <c r="C493" t="str">
        <v>SACRED CHARM</v>
      </c>
      <c r="D493" t="str">
        <v>PFL EN 093/094</v>
      </c>
      <c r="E493" t="str">
        <v>holo</v>
      </c>
      <c r="F493" t="str">
        <v>HCM</v>
      </c>
      <c r="G493">
        <v>3</v>
      </c>
      <c r="H493">
        <v>1</v>
      </c>
      <c r="K493">
        <f>J493+H493-I493</f>
        <v>1</v>
      </c>
      <c r="L493">
        <f>G493*K493</f>
        <v>3</v>
      </c>
    </row>
    <row r="494">
      <c r="A494" t="str">
        <v>TO-27</v>
      </c>
      <c r="B494" t="str">
        <v>tool</v>
      </c>
      <c r="C494" t="str">
        <v>BRAVERY CHARM</v>
      </c>
      <c r="D494" t="str">
        <v>PAL EN 173/193</v>
      </c>
      <c r="E494" t="str">
        <v>normal</v>
      </c>
      <c r="F494" t="str">
        <v>HCM</v>
      </c>
      <c r="G494">
        <v>5</v>
      </c>
      <c r="H494">
        <v>5</v>
      </c>
      <c r="K494">
        <f>J494+H494-I494</f>
        <v>5</v>
      </c>
      <c r="L494">
        <f>G494*K494</f>
        <v>25</v>
      </c>
    </row>
    <row r="495">
      <c r="A495" t="str">
        <v>SUP-14</v>
      </c>
      <c r="B495" t="str">
        <v>suppoter</v>
      </c>
      <c r="C495" t="str">
        <v>ERI</v>
      </c>
      <c r="D495" t="str">
        <v>TEF EN 146/162</v>
      </c>
      <c r="E495" t="str">
        <v>normal</v>
      </c>
      <c r="F495" t="str">
        <v>HCM</v>
      </c>
      <c r="G495">
        <v>4</v>
      </c>
      <c r="H495">
        <v>7</v>
      </c>
      <c r="K495">
        <f>J495+H495-I495</f>
        <v>7</v>
      </c>
      <c r="L495">
        <f>G495*K495</f>
        <v>28</v>
      </c>
    </row>
    <row r="496">
      <c r="A496" t="str">
        <v>IT-35</v>
      </c>
      <c r="B496" t="str">
        <v>item</v>
      </c>
      <c r="C496" t="str">
        <v>POTION</v>
      </c>
      <c r="D496" t="str">
        <v>SVI 188/198</v>
      </c>
      <c r="E496" t="str">
        <v>normal</v>
      </c>
      <c r="F496" t="str">
        <v>HCM</v>
      </c>
      <c r="G496">
        <v>3</v>
      </c>
      <c r="H496">
        <v>1</v>
      </c>
      <c r="K496">
        <f>J496+H496-I496</f>
        <v>1</v>
      </c>
      <c r="L496">
        <f>G496*K496</f>
        <v>3</v>
      </c>
    </row>
    <row r="497">
      <c r="A497" t="str">
        <v>IT-18</v>
      </c>
      <c r="B497" t="str">
        <v>item</v>
      </c>
      <c r="C497" t="str">
        <v>ENHANCED HAMMER</v>
      </c>
      <c r="D497" t="str">
        <v>TWM 148/167</v>
      </c>
      <c r="E497" t="str">
        <v>normal</v>
      </c>
      <c r="F497" t="str">
        <v>HCM</v>
      </c>
      <c r="G497">
        <v>4</v>
      </c>
      <c r="H497">
        <v>10</v>
      </c>
      <c r="K497">
        <f>J497+H497-I497</f>
        <v>10</v>
      </c>
      <c r="L497">
        <f>G497*K497</f>
        <v>40</v>
      </c>
    </row>
    <row r="498">
      <c r="A498" t="str">
        <v>PC-IT-02</v>
      </c>
      <c r="B498" t="str">
        <v>item</v>
      </c>
      <c r="C498" t="str">
        <v>ENHANCED HAMMER</v>
      </c>
      <c r="D498" t="str">
        <v>TWM 148/167</v>
      </c>
      <c r="E498" t="str">
        <v>prize card</v>
      </c>
      <c r="F498" t="str">
        <v>HCM</v>
      </c>
      <c r="G498">
        <v>8</v>
      </c>
      <c r="H498">
        <v>2</v>
      </c>
      <c r="K498">
        <f>J498+H498-I498</f>
        <v>2</v>
      </c>
      <c r="L498">
        <f>G498*K498</f>
        <v>16</v>
      </c>
    </row>
    <row r="499">
      <c r="A499" t="str">
        <v>IT-54</v>
      </c>
      <c r="B499" t="str">
        <v>item</v>
      </c>
      <c r="C499" t="str">
        <v>SUPERIOR ENERGY RETRIEVAL</v>
      </c>
      <c r="D499" t="str">
        <v>PAL 189/193</v>
      </c>
      <c r="E499" t="str">
        <v>holo</v>
      </c>
      <c r="F499" t="str">
        <v>HCM</v>
      </c>
      <c r="G499">
        <v>4</v>
      </c>
      <c r="H499">
        <v>1</v>
      </c>
      <c r="K499">
        <f>J499+H499-I499</f>
        <v>1</v>
      </c>
      <c r="L499">
        <f>G499*K499</f>
        <v>4</v>
      </c>
    </row>
    <row r="500">
      <c r="A500" t="str">
        <v>IT-54</v>
      </c>
      <c r="B500" t="str">
        <v>item</v>
      </c>
      <c r="C500" t="str">
        <v>SUPERIOR ENERGY RETRIEVAL</v>
      </c>
      <c r="D500" t="str">
        <v>PAL 189/193</v>
      </c>
      <c r="E500" t="str">
        <v>normal</v>
      </c>
      <c r="F500" t="str">
        <v>HCM</v>
      </c>
      <c r="G500">
        <v>4</v>
      </c>
      <c r="H500">
        <v>7</v>
      </c>
      <c r="K500">
        <f>J500+H500-I500</f>
        <v>7</v>
      </c>
      <c r="L500">
        <f>G500*K500</f>
        <v>28</v>
      </c>
    </row>
    <row r="501">
      <c r="A501" t="str">
        <v>IT-43</v>
      </c>
      <c r="B501" t="str">
        <v>item</v>
      </c>
      <c r="C501" t="str">
        <v>TEAM ROCKET'S VENTURE BOMB</v>
      </c>
      <c r="D501" t="str">
        <v>DRI EN 179/182</v>
      </c>
      <c r="E501" t="str">
        <v>normal</v>
      </c>
      <c r="F501" t="str">
        <v>HCM</v>
      </c>
      <c r="G501">
        <v>2</v>
      </c>
      <c r="H501">
        <v>1</v>
      </c>
      <c r="K501">
        <f>J501+H501-I501</f>
        <v>1</v>
      </c>
      <c r="L501">
        <f>G501*K501</f>
        <v>2</v>
      </c>
    </row>
    <row r="502">
      <c r="A502" t="str">
        <v>TO-09</v>
      </c>
      <c r="B502" t="str">
        <v>tool</v>
      </c>
      <c r="C502" t="str">
        <v>TECHNICAL MACHINE: EVOLUTION</v>
      </c>
      <c r="D502" t="str">
        <v>PAR EN 178/182</v>
      </c>
      <c r="E502" t="str">
        <v>normal</v>
      </c>
      <c r="F502" t="str">
        <v>HCM</v>
      </c>
      <c r="G502">
        <v>4</v>
      </c>
      <c r="H502">
        <v>8</v>
      </c>
      <c r="K502">
        <f>J502+H502-I502</f>
        <v>8</v>
      </c>
      <c r="L502">
        <f>G502*K502</f>
        <v>32</v>
      </c>
    </row>
    <row r="503">
      <c r="A503" t="str">
        <v>TO-17</v>
      </c>
      <c r="B503" t="str">
        <v>tool</v>
      </c>
      <c r="C503" t="str">
        <v>DEFIANCE VEST</v>
      </c>
      <c r="D503" t="str">
        <v>PAR EN 162/182</v>
      </c>
      <c r="E503" t="str">
        <v>normal</v>
      </c>
      <c r="F503" t="str">
        <v>HCM</v>
      </c>
      <c r="G503">
        <v>3</v>
      </c>
      <c r="H503">
        <v>3</v>
      </c>
      <c r="K503">
        <f>J503+H503-I503</f>
        <v>3</v>
      </c>
      <c r="L503">
        <f>G503*K503</f>
        <v>9</v>
      </c>
    </row>
    <row r="504">
      <c r="A504" t="str">
        <v>IT-17</v>
      </c>
      <c r="B504" t="str">
        <v>item</v>
      </c>
      <c r="C504" t="str">
        <v>ENERGY SWITCH</v>
      </c>
      <c r="D504" t="str">
        <v>SVI 173/198</v>
      </c>
      <c r="E504" t="str">
        <v>normal</v>
      </c>
      <c r="F504" t="str">
        <v>HCM</v>
      </c>
      <c r="G504">
        <v>7</v>
      </c>
      <c r="H504">
        <v>2</v>
      </c>
      <c r="K504">
        <f>J504+H504-I504</f>
        <v>2</v>
      </c>
      <c r="L504">
        <f>G504*K504</f>
        <v>14</v>
      </c>
    </row>
    <row r="505">
      <c r="A505" t="str">
        <v>IT-55</v>
      </c>
      <c r="B505" t="str">
        <v>item</v>
      </c>
      <c r="C505" t="str">
        <v>SUPER ROD</v>
      </c>
      <c r="D505" t="str">
        <v>PAL 188/193</v>
      </c>
      <c r="E505" t="str">
        <v>normal</v>
      </c>
      <c r="F505" t="str">
        <v>HCM</v>
      </c>
      <c r="G505">
        <v>4</v>
      </c>
      <c r="H505">
        <f>1+4</f>
        <v>5</v>
      </c>
      <c r="K505">
        <f>J505+H505-I505</f>
        <v>5</v>
      </c>
      <c r="L505">
        <f>G505*K505</f>
        <v>20</v>
      </c>
    </row>
    <row r="506">
      <c r="A506" t="str">
        <v>PC-IT-08</v>
      </c>
      <c r="B506" t="str">
        <v>item</v>
      </c>
      <c r="C506" t="str">
        <v>SUPER ROD</v>
      </c>
      <c r="D506" t="str">
        <v>PAL 188/193</v>
      </c>
      <c r="E506" t="str">
        <v>prize card</v>
      </c>
      <c r="F506" t="str">
        <v>HCM</v>
      </c>
      <c r="G506">
        <v>5</v>
      </c>
      <c r="H506">
        <v>3</v>
      </c>
      <c r="K506">
        <f>J506+H506-I506</f>
        <v>3</v>
      </c>
      <c r="L506">
        <f>G506*K506</f>
        <v>15</v>
      </c>
    </row>
    <row r="507">
      <c r="A507" t="str">
        <v>STA-09</v>
      </c>
      <c r="B507" t="str">
        <v>stadium</v>
      </c>
      <c r="C507" t="str">
        <v xml:space="preserve">Forest of Vitality  </v>
      </c>
      <c r="D507" t="str">
        <v>MEG 117/132</v>
      </c>
      <c r="E507" t="str">
        <v>normal</v>
      </c>
      <c r="F507" t="str">
        <v>HCM</v>
      </c>
      <c r="G507">
        <v>4</v>
      </c>
      <c r="H507">
        <v>1</v>
      </c>
      <c r="K507">
        <f>J507+H507-I507</f>
        <v>1</v>
      </c>
      <c r="L507">
        <f>G507*K507</f>
        <v>4</v>
      </c>
    </row>
    <row r="508">
      <c r="A508" t="str">
        <v>TO-07</v>
      </c>
      <c r="B508" t="str">
        <v>tool</v>
      </c>
      <c r="C508" t="str">
        <v>TECHNICAL MACHINE: DEVOLUTION</v>
      </c>
      <c r="D508" t="str">
        <v>PAR EN 177/182</v>
      </c>
      <c r="E508" t="str">
        <v>normal</v>
      </c>
      <c r="F508" t="str">
        <v>HCM</v>
      </c>
      <c r="G508">
        <v>5</v>
      </c>
      <c r="H508">
        <v>7</v>
      </c>
      <c r="K508">
        <f>J508+H508-I508</f>
        <v>7</v>
      </c>
      <c r="L508">
        <f>G508*K508</f>
        <v>35</v>
      </c>
    </row>
    <row r="509">
      <c r="A509" t="str">
        <v>PC-TO-06</v>
      </c>
      <c r="B509" t="str">
        <v>tool</v>
      </c>
      <c r="C509" t="str">
        <v>TECHNICAL MACHINE: DEVOLUTION</v>
      </c>
      <c r="D509" t="str">
        <v>PAR EN 177/182</v>
      </c>
      <c r="E509" t="str">
        <v>prize card</v>
      </c>
      <c r="F509" t="str">
        <v>HCM</v>
      </c>
      <c r="G509">
        <v>8</v>
      </c>
      <c r="H509">
        <v>1</v>
      </c>
      <c r="K509">
        <f>J509+H509-I509</f>
        <v>1</v>
      </c>
      <c r="L509">
        <f>G509*K509</f>
        <v>8</v>
      </c>
    </row>
    <row r="510">
      <c r="B510" t="str">
        <v>special energy</v>
      </c>
      <c r="C510" t="str">
        <v>Mist Energy</v>
      </c>
      <c r="D510" t="str">
        <v>TEF 161/162</v>
      </c>
      <c r="E510" t="str">
        <v>normal</v>
      </c>
      <c r="F510" t="str">
        <v>HCM</v>
      </c>
      <c r="G510">
        <v>10</v>
      </c>
      <c r="H510">
        <v>1</v>
      </c>
      <c r="K510">
        <f>J510+H510-I510</f>
        <v>1</v>
      </c>
      <c r="L510">
        <f>G510*K510</f>
        <v>10</v>
      </c>
    </row>
    <row r="511">
      <c r="A511" t="str">
        <v>IT-39</v>
      </c>
      <c r="B511" t="str">
        <v>item</v>
      </c>
      <c r="C511" t="str">
        <v>PREMIUM POWER PRO</v>
      </c>
      <c r="D511" t="str">
        <v>MEG EN 124/132</v>
      </c>
      <c r="E511" t="str">
        <v>normal</v>
      </c>
      <c r="F511" t="str">
        <v>HCM</v>
      </c>
      <c r="G511">
        <v>6</v>
      </c>
      <c r="H511">
        <v>1</v>
      </c>
      <c r="K511">
        <f>J511+H511-I511</f>
        <v>1</v>
      </c>
      <c r="L511">
        <f>G511*K511</f>
        <v>6</v>
      </c>
    </row>
    <row r="512">
      <c r="A512" t="str">
        <v>STA-01</v>
      </c>
      <c r="B512" t="str">
        <v>stadium</v>
      </c>
      <c r="C512" t="str">
        <v>ACADEMY AT NIGHT</v>
      </c>
      <c r="D512" t="str">
        <v>SFA EN 054/064</v>
      </c>
      <c r="E512" t="str">
        <v>normal</v>
      </c>
      <c r="F512" t="str">
        <v>HCM</v>
      </c>
      <c r="G512">
        <v>3</v>
      </c>
      <c r="H512">
        <v>1</v>
      </c>
      <c r="K512">
        <f>J512+H512-I512</f>
        <v>1</v>
      </c>
      <c r="L512">
        <f>G512*K512</f>
        <v>3</v>
      </c>
    </row>
    <row r="513">
      <c r="A513" t="str">
        <v>SUP-36</v>
      </c>
      <c r="B513" t="str">
        <v>suppoter</v>
      </c>
      <c r="C513" t="str">
        <v>PROFESSOR SADA'S VITALITY</v>
      </c>
      <c r="D513" t="str">
        <v>PAR 170/182</v>
      </c>
      <c r="E513" t="str">
        <v>holo</v>
      </c>
      <c r="F513" t="str">
        <v>HCM</v>
      </c>
      <c r="G513">
        <v>5</v>
      </c>
      <c r="H513">
        <v>2</v>
      </c>
      <c r="K513">
        <f>J513+H513-I513</f>
        <v>2</v>
      </c>
      <c r="L513">
        <f>G513*K513</f>
        <v>10</v>
      </c>
    </row>
    <row r="514">
      <c r="A514" t="str">
        <v>SUP-36</v>
      </c>
      <c r="B514" t="str">
        <v>suppoter</v>
      </c>
      <c r="C514" t="str">
        <v>PROFESSOR SADA'S VITALITY</v>
      </c>
      <c r="D514" t="str">
        <v>PAR 170/182</v>
      </c>
      <c r="E514" t="str">
        <v>normal</v>
      </c>
      <c r="F514" t="str">
        <v>HCM</v>
      </c>
      <c r="G514">
        <v>4</v>
      </c>
      <c r="H514">
        <v>1</v>
      </c>
      <c r="K514">
        <f>J514+H514-I514</f>
        <v>1</v>
      </c>
      <c r="L514">
        <f>G514*K514</f>
        <v>4</v>
      </c>
    </row>
    <row r="515">
      <c r="A515" t="str">
        <v>SUP-36</v>
      </c>
      <c r="B515" t="str">
        <v>suppoter</v>
      </c>
      <c r="C515" t="str">
        <v>PROFESSOR SADA'S VITALITY</v>
      </c>
      <c r="D515" t="str">
        <v>PRE 120/131</v>
      </c>
      <c r="E515" t="str">
        <v>normal</v>
      </c>
      <c r="F515" t="str">
        <v>HCM</v>
      </c>
      <c r="G515">
        <v>4</v>
      </c>
      <c r="H515">
        <v>2</v>
      </c>
      <c r="K515">
        <f>J515+H515-I515</f>
        <v>2</v>
      </c>
    </row>
    <row r="516">
      <c r="A516" t="str">
        <v>SUP-36</v>
      </c>
      <c r="B516" t="str">
        <v>suppoter</v>
      </c>
      <c r="C516" t="str">
        <v>PROFESSOR SADA'S VITALITY</v>
      </c>
      <c r="D516" t="str">
        <v>PRE 120/131</v>
      </c>
      <c r="E516" t="str">
        <v>holo</v>
      </c>
      <c r="F516" t="str">
        <v>HCM</v>
      </c>
      <c r="G516">
        <v>5</v>
      </c>
      <c r="H516">
        <v>1</v>
      </c>
      <c r="K516">
        <f>J516+H516-I516</f>
        <v>1</v>
      </c>
    </row>
    <row r="517">
      <c r="A517" t="str">
        <v>PC-SUP-003</v>
      </c>
      <c r="B517" t="str">
        <v>suppoter</v>
      </c>
      <c r="C517" t="str">
        <v>PROFESSOR SADA'S VITALITY</v>
      </c>
      <c r="D517" t="str">
        <v>PAR 170/182</v>
      </c>
      <c r="E517" t="str">
        <v>prize card</v>
      </c>
      <c r="F517" t="str">
        <v>HCM</v>
      </c>
      <c r="G517">
        <v>8</v>
      </c>
      <c r="H517">
        <v>2</v>
      </c>
      <c r="K517">
        <f>J517+H517-I517</f>
        <v>2</v>
      </c>
      <c r="L517">
        <f>G517*K517</f>
        <v>16</v>
      </c>
    </row>
    <row r="518">
      <c r="A518" t="str">
        <v>STA-07</v>
      </c>
      <c r="B518" t="str">
        <v>stadium</v>
      </c>
      <c r="C518" t="str">
        <v>Festival Grounds</v>
      </c>
      <c r="D518" t="str">
        <v>PRE 108/131</v>
      </c>
      <c r="E518" t="str">
        <v>normal</v>
      </c>
      <c r="F518" t="str">
        <v>HCM</v>
      </c>
      <c r="G518">
        <v>3</v>
      </c>
      <c r="H518">
        <v>6</v>
      </c>
      <c r="K518">
        <f>J518+H518-I518</f>
        <v>6</v>
      </c>
      <c r="L518">
        <f>G518*K518</f>
        <v>18</v>
      </c>
    </row>
    <row r="519">
      <c r="A519" t="str">
        <v>STA-07</v>
      </c>
      <c r="B519" t="str">
        <v>stadium</v>
      </c>
      <c r="C519" t="str">
        <v>Festival Grounds</v>
      </c>
      <c r="D519" t="str">
        <v>TWM 149/167</v>
      </c>
      <c r="E519" t="str">
        <v>normal</v>
      </c>
      <c r="F519" t="str">
        <v>HCM</v>
      </c>
      <c r="G519">
        <v>4</v>
      </c>
      <c r="H519">
        <v>1</v>
      </c>
      <c r="K519">
        <f>J519+H519-I519</f>
        <v>1</v>
      </c>
    </row>
    <row r="520">
      <c r="B520" t="str">
        <v>stadium</v>
      </c>
      <c r="C520" t="str">
        <v>祭り会場 (Festival Grounds)</v>
      </c>
      <c r="D520" t="str">
        <v>sv6 099/101</v>
      </c>
      <c r="E520" t="str">
        <v>normal</v>
      </c>
      <c r="F520" t="str">
        <v>HCM</v>
      </c>
      <c r="G520">
        <v>2</v>
      </c>
      <c r="H520">
        <v>1</v>
      </c>
      <c r="K520">
        <f>J520+H520-I520</f>
        <v>1</v>
      </c>
    </row>
    <row r="521">
      <c r="A521" t="str">
        <v>TO-37</v>
      </c>
      <c r="B521" t="str">
        <v>tool</v>
      </c>
      <c r="C521" t="str">
        <v>LUXURIOUS CAPE</v>
      </c>
      <c r="D521" t="str">
        <v>PAR 166/182</v>
      </c>
      <c r="E521" t="str">
        <v>normal</v>
      </c>
      <c r="F521" t="str">
        <v>HCM</v>
      </c>
      <c r="G521">
        <v>3</v>
      </c>
      <c r="H521">
        <v>2</v>
      </c>
      <c r="K521">
        <f>J521+H521-I521</f>
        <v>2</v>
      </c>
      <c r="L521">
        <f>G521*K521</f>
        <v>6</v>
      </c>
    </row>
    <row r="522">
      <c r="A522" t="str">
        <v>TO-26</v>
      </c>
      <c r="B522" t="str">
        <v>tool</v>
      </c>
      <c r="C522" t="str">
        <v>EXP. SHARE</v>
      </c>
      <c r="D522" t="str">
        <v>sun and moon 118/149</v>
      </c>
      <c r="E522" t="str">
        <v>normal</v>
      </c>
      <c r="F522" t="str">
        <v>HCM</v>
      </c>
      <c r="G522">
        <v>3</v>
      </c>
      <c r="H522">
        <v>1</v>
      </c>
      <c r="K522">
        <f>J522+H522-I522</f>
        <v>1</v>
      </c>
      <c r="L522">
        <f>G522*K522</f>
        <v>3</v>
      </c>
    </row>
    <row r="523">
      <c r="A523" t="str">
        <v>TO-26</v>
      </c>
      <c r="B523" t="str">
        <v>tool</v>
      </c>
      <c r="C523" t="str">
        <v>EXP. SHARE</v>
      </c>
      <c r="D523" t="str">
        <v>E 126/163</v>
      </c>
      <c r="E523" t="str">
        <v>normal</v>
      </c>
      <c r="F523" t="str">
        <v>HCM</v>
      </c>
      <c r="G523">
        <v>4</v>
      </c>
      <c r="H523">
        <v>1</v>
      </c>
      <c r="K523">
        <f>J523+H523-I523</f>
        <v>1</v>
      </c>
      <c r="L523">
        <f>G523*K523</f>
        <v>4</v>
      </c>
    </row>
    <row r="524">
      <c r="A524" t="str">
        <v>TO-26</v>
      </c>
      <c r="B524" t="str">
        <v>tool</v>
      </c>
      <c r="C524" t="str">
        <v>EXP. SHARE</v>
      </c>
      <c r="D524" t="str">
        <v>SVI 174/198</v>
      </c>
      <c r="E524" t="str">
        <v>normal</v>
      </c>
      <c r="F524" t="str">
        <v>HCM</v>
      </c>
      <c r="G524">
        <v>3</v>
      </c>
      <c r="H524">
        <v>8</v>
      </c>
      <c r="K524">
        <f>J524+H524-I524</f>
        <v>8</v>
      </c>
      <c r="L524">
        <f>G524*K524</f>
        <v>24</v>
      </c>
    </row>
    <row r="525">
      <c r="A525" t="str">
        <v>SUP-18</v>
      </c>
      <c r="B525" t="str">
        <v>suppoter</v>
      </c>
      <c r="C525" t="str">
        <v>JACQ</v>
      </c>
      <c r="D525" t="str">
        <v>SVI 175/198</v>
      </c>
      <c r="E525" t="str">
        <v>normal</v>
      </c>
      <c r="F525" t="str">
        <v>HCM</v>
      </c>
      <c r="G525">
        <v>3</v>
      </c>
      <c r="H525">
        <v>3</v>
      </c>
      <c r="K525">
        <f>J525+H525-I525</f>
        <v>3</v>
      </c>
      <c r="L525">
        <f>G525*K525</f>
        <v>9</v>
      </c>
    </row>
    <row r="526">
      <c r="A526" t="str">
        <v>STA-14</v>
      </c>
      <c r="B526" t="str">
        <v>stadium</v>
      </c>
      <c r="C526" t="str">
        <v xml:space="preserve">LUMOISE CITY </v>
      </c>
      <c r="D526" t="str">
        <v>POR 77/88</v>
      </c>
      <c r="E526" t="str">
        <v>normal</v>
      </c>
      <c r="F526" t="str">
        <v>HCM</v>
      </c>
      <c r="G526">
        <v>5</v>
      </c>
      <c r="H526">
        <v>1</v>
      </c>
      <c r="K526">
        <f>J526+H526-I526</f>
        <v>1</v>
      </c>
      <c r="L526">
        <f>G526*K526</f>
        <v>5</v>
      </c>
    </row>
    <row r="527">
      <c r="A527" t="str">
        <v>STA-23</v>
      </c>
      <c r="B527" t="str">
        <v>stadium</v>
      </c>
      <c r="C527" t="str">
        <v>POSTWICK</v>
      </c>
      <c r="D527" t="str">
        <v>JTG 154/159</v>
      </c>
      <c r="E527" t="str">
        <v>normal</v>
      </c>
      <c r="F527" t="str">
        <v>HCM</v>
      </c>
      <c r="G527">
        <v>2</v>
      </c>
      <c r="H527">
        <v>9</v>
      </c>
      <c r="K527">
        <f>J527+H527-I527</f>
        <v>9</v>
      </c>
      <c r="L527">
        <f>G527*K527</f>
        <v>18</v>
      </c>
    </row>
    <row r="528">
      <c r="A528" t="str">
        <v>PC-STA-06</v>
      </c>
      <c r="B528" t="str">
        <v>stadium</v>
      </c>
      <c r="C528" t="str">
        <v>POSTWICK</v>
      </c>
      <c r="D528" t="str">
        <v>JTG 154/159</v>
      </c>
      <c r="E528" t="str">
        <v>prize card</v>
      </c>
      <c r="F528" t="str">
        <v>HCM</v>
      </c>
      <c r="G528">
        <v>2</v>
      </c>
      <c r="H528">
        <v>1</v>
      </c>
      <c r="K528">
        <f>J528+H528-I528</f>
        <v>1</v>
      </c>
      <c r="L528">
        <f>G528*K528</f>
        <v>2</v>
      </c>
    </row>
    <row r="529">
      <c r="A529" t="str">
        <v>SUP-52</v>
      </c>
      <c r="B529" t="str">
        <v>suppoter</v>
      </c>
      <c r="C529" t="str">
        <v>TARRAGON</v>
      </c>
      <c r="D529" t="str">
        <v>POR 85/88</v>
      </c>
      <c r="E529" t="str">
        <v>normal</v>
      </c>
      <c r="F529" t="str">
        <v>HCM</v>
      </c>
      <c r="G529">
        <v>4</v>
      </c>
      <c r="H529">
        <v>40</v>
      </c>
      <c r="K529">
        <f>J529+H529-I529</f>
        <v>40</v>
      </c>
      <c r="L529">
        <f>G529*K529</f>
        <v>160</v>
      </c>
    </row>
    <row r="530">
      <c r="A530" t="str">
        <v>SUP-52</v>
      </c>
      <c r="B530" t="str">
        <v>suppoter</v>
      </c>
      <c r="C530" t="str">
        <v>TARRAGON</v>
      </c>
      <c r="D530" t="str">
        <v>POR 85/88</v>
      </c>
      <c r="E530" t="str">
        <v>holo</v>
      </c>
      <c r="F530" t="str">
        <v>HCM</v>
      </c>
      <c r="G530">
        <v>4</v>
      </c>
      <c r="H530">
        <v>1</v>
      </c>
      <c r="K530">
        <f>J530+H530-I530</f>
        <v>1</v>
      </c>
      <c r="L530">
        <f>G530*K530</f>
        <v>4</v>
      </c>
    </row>
    <row r="531">
      <c r="A531" t="str">
        <v>SUP-46</v>
      </c>
      <c r="B531" t="str">
        <v>suppoter</v>
      </c>
      <c r="C531" t="str">
        <v>WAITRESS</v>
      </c>
      <c r="D531" t="str">
        <v>ASC 215/217</v>
      </c>
      <c r="E531" t="str">
        <v>normal</v>
      </c>
      <c r="F531" t="str">
        <v>HCM</v>
      </c>
      <c r="G531">
        <v>4</v>
      </c>
      <c r="H531">
        <v>4</v>
      </c>
      <c r="K531">
        <f>J531+H531-I531</f>
        <v>4</v>
      </c>
      <c r="L531">
        <f>G531*K531</f>
        <v>16</v>
      </c>
    </row>
    <row r="532">
      <c r="A532" t="str">
        <v>SUP-19</v>
      </c>
      <c r="B532" t="str">
        <v>suppoter</v>
      </c>
      <c r="C532" t="str">
        <v>JACINTHE</v>
      </c>
      <c r="D532" t="str">
        <v>POR 75/88</v>
      </c>
      <c r="E532" t="str">
        <v>holo</v>
      </c>
      <c r="F532" t="str">
        <v>HCM</v>
      </c>
      <c r="G532">
        <v>3</v>
      </c>
      <c r="H532">
        <v>5</v>
      </c>
      <c r="K532">
        <f>J532+H532-I532</f>
        <v>5</v>
      </c>
      <c r="L532">
        <f>G532*K532</f>
        <v>15</v>
      </c>
    </row>
    <row r="533">
      <c r="A533" t="str">
        <v>SUP-19</v>
      </c>
      <c r="B533" t="str">
        <v>suppoter</v>
      </c>
      <c r="C533" t="str">
        <v>JACINTHE</v>
      </c>
      <c r="D533" t="str">
        <v>POR 75/88</v>
      </c>
      <c r="E533" t="str">
        <v>normal</v>
      </c>
      <c r="F533" t="str">
        <v>HCM</v>
      </c>
      <c r="G533">
        <v>2</v>
      </c>
      <c r="H533">
        <v>39</v>
      </c>
      <c r="K533">
        <f>J533+H533-I533</f>
        <v>39</v>
      </c>
      <c r="L533">
        <f>G533*K533</f>
        <v>78</v>
      </c>
    </row>
    <row r="534">
      <c r="A534" t="str">
        <v>SUP-53</v>
      </c>
      <c r="B534" t="str">
        <v>suppoter</v>
      </c>
      <c r="C534" t="str">
        <v xml:space="preserve">NAVEEN </v>
      </c>
      <c r="D534" t="str">
        <v>POR 79/88</v>
      </c>
      <c r="E534" t="str">
        <v>normal</v>
      </c>
      <c r="F534" t="str">
        <v>HCM</v>
      </c>
      <c r="G534">
        <v>4</v>
      </c>
      <c r="H534">
        <v>39</v>
      </c>
      <c r="K534">
        <f>J534+H534-I534</f>
        <v>39</v>
      </c>
      <c r="L534">
        <f>G534*K534</f>
        <v>156</v>
      </c>
    </row>
    <row r="535">
      <c r="A535" t="str">
        <v>SUP-53</v>
      </c>
      <c r="B535" t="str">
        <v>suppoter</v>
      </c>
      <c r="C535" t="str">
        <v xml:space="preserve">NAVEEN </v>
      </c>
      <c r="D535" t="str">
        <v>POR 79/88</v>
      </c>
      <c r="E535" t="str">
        <v>holo</v>
      </c>
      <c r="F535" t="str">
        <v>HCM</v>
      </c>
      <c r="G535">
        <v>5</v>
      </c>
      <c r="H535">
        <v>2</v>
      </c>
      <c r="K535">
        <f>J535+H535-I535</f>
        <v>2</v>
      </c>
      <c r="L535">
        <f>G535*K535</f>
        <v>10</v>
      </c>
    </row>
    <row r="536">
      <c r="A536" t="str">
        <v>SUP-40</v>
      </c>
      <c r="B536" t="str">
        <v>suppoter</v>
      </c>
      <c r="C536" t="str">
        <v>ROSA'S ENCOURAGEMENT</v>
      </c>
      <c r="D536" t="str">
        <v>POR 84/88</v>
      </c>
      <c r="E536" t="str">
        <v>normal</v>
      </c>
      <c r="F536" t="str">
        <v>HCM</v>
      </c>
      <c r="G536">
        <v>6</v>
      </c>
      <c r="H536">
        <v>30</v>
      </c>
      <c r="K536">
        <f>J536+H536-I536</f>
        <v>30</v>
      </c>
      <c r="L536">
        <f>G536*K536</f>
        <v>180</v>
      </c>
    </row>
    <row r="537">
      <c r="A537" t="str">
        <v>SUP-17</v>
      </c>
      <c r="B537" t="str">
        <v>suppoter</v>
      </c>
      <c r="C537" t="str">
        <v>FIREBREATHER</v>
      </c>
      <c r="D537" t="str">
        <v>PFL 89/94</v>
      </c>
      <c r="E537" t="str">
        <v>normal</v>
      </c>
      <c r="F537" t="str">
        <v>HCM</v>
      </c>
      <c r="G537">
        <v>3</v>
      </c>
      <c r="H537">
        <v>22</v>
      </c>
      <c r="K537">
        <f>J537+H537-I537</f>
        <v>22</v>
      </c>
      <c r="L537">
        <f>G537*K537</f>
        <v>66</v>
      </c>
    </row>
    <row r="538">
      <c r="A538" t="str">
        <v>SUP-17</v>
      </c>
      <c r="B538" t="str">
        <v>suppoter</v>
      </c>
      <c r="C538" t="str">
        <v>FIREBREATHER</v>
      </c>
      <c r="D538" t="str">
        <v>PFL 89/94</v>
      </c>
      <c r="E538" t="str">
        <v>holo</v>
      </c>
      <c r="F538" t="str">
        <v>HCM</v>
      </c>
      <c r="G538">
        <v>5</v>
      </c>
      <c r="H538">
        <v>7</v>
      </c>
      <c r="K538">
        <f>J538+H538-I538</f>
        <v>7</v>
      </c>
      <c r="L538">
        <f>G538*K538</f>
        <v>35</v>
      </c>
    </row>
    <row r="539">
      <c r="B539" t="str">
        <v>suppoter</v>
      </c>
      <c r="C539" t="str">
        <v xml:space="preserve">LILLIE'S DETERMINATION </v>
      </c>
      <c r="D539" t="str">
        <v>MEG  119/132</v>
      </c>
      <c r="E539" t="str">
        <v>holo</v>
      </c>
      <c r="F539" t="str">
        <v>HCM</v>
      </c>
      <c r="G539">
        <v>8</v>
      </c>
      <c r="H539">
        <v>0</v>
      </c>
      <c r="K539">
        <f>J539+H539-I539</f>
        <v>0</v>
      </c>
      <c r="L539">
        <f>G539*K539</f>
        <v>0</v>
      </c>
    </row>
    <row r="540">
      <c r="B540" t="str">
        <v>suppoter</v>
      </c>
      <c r="C540" t="str">
        <v>HILDA</v>
      </c>
      <c r="D540" t="str">
        <v>WHT 84/86</v>
      </c>
      <c r="E540" t="str">
        <v>normal</v>
      </c>
      <c r="F540" t="str">
        <v>HCM</v>
      </c>
      <c r="G540">
        <v>22</v>
      </c>
      <c r="H540">
        <v>0</v>
      </c>
      <c r="K540">
        <f>J540+H540-I540</f>
        <v>0</v>
      </c>
      <c r="L540">
        <f>G540*K540</f>
        <v>0</v>
      </c>
    </row>
    <row r="541">
      <c r="A541" t="str">
        <v>SUP-28</v>
      </c>
      <c r="B541" t="str">
        <v>suppoter</v>
      </c>
      <c r="C541" t="str">
        <v>LANA'S AID</v>
      </c>
      <c r="D541" t="str">
        <v>TWM 155/167</v>
      </c>
      <c r="E541" t="str">
        <v>holo</v>
      </c>
      <c r="F541" t="str">
        <v>HCM</v>
      </c>
      <c r="G541">
        <v>6</v>
      </c>
      <c r="H541">
        <v>1</v>
      </c>
      <c r="K541">
        <f>J541+H541-I541</f>
        <v>1</v>
      </c>
      <c r="L541">
        <f>G541*K541</f>
        <v>6</v>
      </c>
    </row>
    <row r="542">
      <c r="A542" t="str">
        <v>SUP-28</v>
      </c>
      <c r="B542" t="str">
        <v>suppoter</v>
      </c>
      <c r="C542" t="str">
        <v>LANA'S AID</v>
      </c>
      <c r="D542" t="str">
        <v>TWM 155/167</v>
      </c>
      <c r="E542" t="str">
        <v>normal</v>
      </c>
      <c r="F542" t="str">
        <v>HCM</v>
      </c>
      <c r="G542">
        <v>5</v>
      </c>
      <c r="H542">
        <v>10</v>
      </c>
      <c r="K542">
        <f>J542+H542-I542</f>
        <v>10</v>
      </c>
      <c r="L542">
        <f>G542*K542</f>
        <v>50</v>
      </c>
    </row>
    <row r="543">
      <c r="A543" t="str">
        <v>SUP-45</v>
      </c>
      <c r="B543" t="str">
        <v>suppoter</v>
      </c>
      <c r="C543" t="str">
        <v>XEROSIC'S MACHINATIONS</v>
      </c>
      <c r="D543" t="str">
        <v>SFA 64/64</v>
      </c>
      <c r="E543" t="str">
        <v>holo</v>
      </c>
      <c r="F543" t="str">
        <v>HCM</v>
      </c>
      <c r="G543">
        <v>5</v>
      </c>
      <c r="H543">
        <v>1</v>
      </c>
      <c r="K543">
        <f>J543+H543-I543</f>
        <v>1</v>
      </c>
      <c r="L543">
        <f>G543*K543</f>
        <v>5</v>
      </c>
    </row>
    <row r="544">
      <c r="A544" t="str">
        <v>SUP-45</v>
      </c>
      <c r="B544" t="str">
        <v>suppoter</v>
      </c>
      <c r="C544" t="str">
        <v>XEROSIC'S MACHINATIONS</v>
      </c>
      <c r="D544" t="str">
        <v>SFA 64/64</v>
      </c>
      <c r="E544" t="str">
        <v>normal</v>
      </c>
      <c r="F544" t="str">
        <v>HCM</v>
      </c>
      <c r="G544">
        <v>4</v>
      </c>
      <c r="H544">
        <v>5</v>
      </c>
      <c r="K544">
        <f>J544+H544-I544</f>
        <v>5</v>
      </c>
      <c r="L544">
        <f>G544*K544</f>
        <v>20</v>
      </c>
    </row>
    <row r="545">
      <c r="A545" t="str">
        <v>SUP-32A</v>
      </c>
      <c r="B545" t="str">
        <v>suppoter</v>
      </c>
      <c r="C545" t="str">
        <v>KOFU</v>
      </c>
      <c r="D545" t="str">
        <v>SCR 138/142</v>
      </c>
      <c r="E545" t="str">
        <v>normal</v>
      </c>
      <c r="F545" t="str">
        <v>HCM</v>
      </c>
      <c r="G545">
        <v>3</v>
      </c>
      <c r="H545">
        <v>4</v>
      </c>
      <c r="K545">
        <f>J545+H545-I545</f>
        <v>4</v>
      </c>
      <c r="L545">
        <f>G545*K545</f>
        <v>12</v>
      </c>
    </row>
    <row r="546">
      <c r="A546" t="str">
        <v>IT-35</v>
      </c>
      <c r="B546" t="str">
        <v>item</v>
      </c>
      <c r="C546" t="str">
        <v>POTION</v>
      </c>
      <c r="D546" t="str">
        <v>POR 83/88</v>
      </c>
      <c r="E546" t="str">
        <v>holo</v>
      </c>
      <c r="F546" t="str">
        <v>HCM</v>
      </c>
      <c r="G546">
        <v>2</v>
      </c>
      <c r="H546">
        <v>1</v>
      </c>
      <c r="K546">
        <f>J546+H546-I546</f>
        <v>1</v>
      </c>
      <c r="L546">
        <f>G546*K546</f>
        <v>2</v>
      </c>
    </row>
    <row r="547">
      <c r="A547" t="str">
        <v>IT-35</v>
      </c>
      <c r="B547" t="str">
        <v>item</v>
      </c>
      <c r="C547" t="str">
        <v>POTION</v>
      </c>
      <c r="D547" t="str">
        <v>POR 83/88</v>
      </c>
      <c r="E547" t="str">
        <v>normal</v>
      </c>
      <c r="F547" t="str">
        <v>HCM</v>
      </c>
      <c r="G547">
        <v>2</v>
      </c>
      <c r="H547">
        <v>2</v>
      </c>
      <c r="K547">
        <f>J547+H547-I547</f>
        <v>2</v>
      </c>
      <c r="L547">
        <f>G547*K547</f>
        <v>4</v>
      </c>
    </row>
    <row r="548">
      <c r="B548" t="str">
        <v>item</v>
      </c>
      <c r="C548" t="str">
        <v>POKEPAD</v>
      </c>
      <c r="D548" t="str">
        <v>POR 81/88</v>
      </c>
      <c r="E548" t="str">
        <v>normal</v>
      </c>
      <c r="F548" t="str">
        <v>SYDNEY</v>
      </c>
      <c r="G548">
        <v>30</v>
      </c>
      <c r="H548">
        <v>32</v>
      </c>
      <c r="K548">
        <f>J548+H548-I548</f>
        <v>32</v>
      </c>
      <c r="L548">
        <f>G548*K548</f>
        <v>960</v>
      </c>
    </row>
    <row r="549">
      <c r="A549" t="str">
        <v>IT-08</v>
      </c>
      <c r="B549" t="str">
        <v>item</v>
      </c>
      <c r="C549" t="str">
        <v>CRUSHING HAMMER</v>
      </c>
      <c r="D549" t="str">
        <v>POR 71/88</v>
      </c>
      <c r="E549" t="str">
        <v>normal</v>
      </c>
      <c r="F549" t="str">
        <v>HCM</v>
      </c>
      <c r="G549">
        <v>3</v>
      </c>
      <c r="H549">
        <v>2</v>
      </c>
      <c r="K549">
        <f>J549+H549-I549</f>
        <v>2</v>
      </c>
      <c r="L549">
        <f>G549*K549</f>
        <v>6</v>
      </c>
    </row>
    <row r="550">
      <c r="A550" t="str">
        <v>IT-08</v>
      </c>
      <c r="B550" t="str">
        <v>item</v>
      </c>
      <c r="C550" t="str">
        <v>CRUSHING HAMMER</v>
      </c>
      <c r="D550" t="str">
        <v>POR 71/88</v>
      </c>
      <c r="E550" t="str">
        <v>holo</v>
      </c>
      <c r="F550" t="str">
        <v>HCM</v>
      </c>
      <c r="G550">
        <v>4</v>
      </c>
      <c r="H550">
        <v>1</v>
      </c>
      <c r="K550">
        <f>J550+H550-I550</f>
        <v>1</v>
      </c>
      <c r="L550">
        <f>G550*K550</f>
        <v>4</v>
      </c>
    </row>
    <row r="551">
      <c r="A551" t="str">
        <v>IT-08</v>
      </c>
      <c r="B551" t="str">
        <v>item</v>
      </c>
      <c r="C551" t="str">
        <v>CRUSHING HAMMER</v>
      </c>
      <c r="D551" t="str">
        <v>SVI 168/198</v>
      </c>
      <c r="E551" t="str">
        <v>holo</v>
      </c>
      <c r="F551" t="str">
        <v>HCM</v>
      </c>
      <c r="G551">
        <v>4</v>
      </c>
      <c r="H551">
        <v>1</v>
      </c>
      <c r="K551">
        <f>J551+H551-I551</f>
        <v>1</v>
      </c>
      <c r="L551">
        <f>G551*K551</f>
        <v>4</v>
      </c>
    </row>
    <row r="552">
      <c r="A552" t="str">
        <v>IT-08</v>
      </c>
      <c r="B552" t="str">
        <v>item</v>
      </c>
      <c r="C552" t="str">
        <v>CRUSHING HAMMER</v>
      </c>
      <c r="D552" t="str">
        <v>F 125/159</v>
      </c>
      <c r="E552" t="str">
        <v>normal</v>
      </c>
      <c r="F552" t="str">
        <v>HCM</v>
      </c>
      <c r="G552">
        <v>2</v>
      </c>
      <c r="H552">
        <v>14</v>
      </c>
      <c r="K552">
        <f>J552+H552-I552</f>
        <v>14</v>
      </c>
      <c r="L552">
        <f>G552*K552</f>
        <v>28</v>
      </c>
    </row>
    <row r="553">
      <c r="A553" t="str">
        <v>IT-36</v>
      </c>
      <c r="B553" t="str">
        <v>item</v>
      </c>
      <c r="C553" t="str">
        <v>POKE BALL</v>
      </c>
      <c r="D553" t="str">
        <v>SVI 185/198</v>
      </c>
      <c r="E553" t="str">
        <v>holo</v>
      </c>
      <c r="F553" t="str">
        <v>HCM</v>
      </c>
      <c r="G553">
        <v>3</v>
      </c>
      <c r="H553">
        <v>2</v>
      </c>
      <c r="K553">
        <f>J553+H553-I553</f>
        <v>2</v>
      </c>
      <c r="L553">
        <f>G553*K553</f>
        <v>6</v>
      </c>
    </row>
    <row r="554">
      <c r="A554" t="str">
        <v>IT-36</v>
      </c>
      <c r="B554" t="str">
        <v>item</v>
      </c>
      <c r="C554" t="str">
        <v>POKE BALL</v>
      </c>
      <c r="D554" t="str">
        <v>POR  80/88</v>
      </c>
      <c r="E554" t="str">
        <v>normal</v>
      </c>
      <c r="F554" t="str">
        <v>HCM</v>
      </c>
      <c r="G554">
        <v>2</v>
      </c>
      <c r="H554">
        <v>3</v>
      </c>
      <c r="K554">
        <f>J554+H554-I554</f>
        <v>3</v>
      </c>
      <c r="L554">
        <f>G554*K554</f>
        <v>6</v>
      </c>
    </row>
    <row r="555">
      <c r="A555" t="str">
        <v>IT-36</v>
      </c>
      <c r="B555" t="str">
        <v>item</v>
      </c>
      <c r="C555" t="str">
        <v>POKE BALL</v>
      </c>
      <c r="D555" t="str">
        <v>F 139/159</v>
      </c>
      <c r="E555" t="str">
        <v>normal</v>
      </c>
      <c r="F555" t="str">
        <v>HCM</v>
      </c>
      <c r="G555">
        <v>2</v>
      </c>
      <c r="H555">
        <v>10</v>
      </c>
      <c r="K555">
        <f>J555+H555-I555</f>
        <v>10</v>
      </c>
      <c r="L555">
        <f>G555*K555</f>
        <v>20</v>
      </c>
    </row>
    <row r="556">
      <c r="A556" t="str">
        <v>IT-37</v>
      </c>
      <c r="B556" t="str">
        <v>item</v>
      </c>
      <c r="C556" t="str">
        <v>POKEMON CATCHER</v>
      </c>
      <c r="D556" t="str">
        <v>SVI 187/198</v>
      </c>
      <c r="E556" t="str">
        <v>normal</v>
      </c>
      <c r="F556" t="str">
        <v>HCM</v>
      </c>
      <c r="G556">
        <v>3</v>
      </c>
      <c r="H556">
        <v>1</v>
      </c>
      <c r="K556">
        <f>J556+H556-I556</f>
        <v>1</v>
      </c>
      <c r="L556">
        <f>G556*K556</f>
        <v>3</v>
      </c>
    </row>
    <row r="557">
      <c r="A557" t="str">
        <v>IT-37</v>
      </c>
      <c r="B557" t="str">
        <v>item</v>
      </c>
      <c r="C557" t="str">
        <v>POKEMON CATCHER</v>
      </c>
      <c r="D557" t="str">
        <v>POR 82/88</v>
      </c>
      <c r="E557" t="str">
        <v>normal</v>
      </c>
      <c r="F557" t="str">
        <v>HCM</v>
      </c>
      <c r="G557">
        <v>3</v>
      </c>
      <c r="H557">
        <v>2</v>
      </c>
      <c r="K557">
        <f>J557+H557-I557</f>
        <v>2</v>
      </c>
      <c r="L557">
        <f>G557*K557</f>
        <v>6</v>
      </c>
    </row>
    <row r="558">
      <c r="A558" t="str">
        <v>IT-37</v>
      </c>
      <c r="B558" t="str">
        <v>item</v>
      </c>
      <c r="C558" t="str">
        <v>POKEMON CATCHER</v>
      </c>
      <c r="D558" t="str">
        <v>F 138/159</v>
      </c>
      <c r="E558" t="str">
        <v>normal</v>
      </c>
      <c r="F558" t="str">
        <v>HCM</v>
      </c>
      <c r="G558">
        <v>3</v>
      </c>
      <c r="H558">
        <v>13</v>
      </c>
      <c r="K558">
        <f>J558+H558-I558</f>
        <v>13</v>
      </c>
      <c r="L558">
        <f>G558*K558</f>
        <v>39</v>
      </c>
    </row>
    <row r="559">
      <c r="A559" t="str">
        <v>IT-23</v>
      </c>
      <c r="B559" t="str">
        <v>item</v>
      </c>
      <c r="C559" t="str">
        <v xml:space="preserve">HOLE DIGGING SHOVEL </v>
      </c>
      <c r="D559" t="str">
        <v>POR 74/88</v>
      </c>
      <c r="E559" t="str">
        <v>holo</v>
      </c>
      <c r="F559" t="str">
        <v>HCM</v>
      </c>
      <c r="G559">
        <v>3</v>
      </c>
      <c r="H559">
        <v>2</v>
      </c>
      <c r="K559">
        <f>J559+H559-I559</f>
        <v>2</v>
      </c>
      <c r="L559">
        <f>G559*K559</f>
        <v>6</v>
      </c>
    </row>
    <row r="560">
      <c r="A560" t="str">
        <v>IT-27</v>
      </c>
      <c r="B560" t="str">
        <v>item</v>
      </c>
      <c r="C560" t="str">
        <v>LUMIOSE GALETTE</v>
      </c>
      <c r="D560" t="str">
        <v>POR 78/88</v>
      </c>
      <c r="E560" t="str">
        <v>normal</v>
      </c>
      <c r="F560" t="str">
        <v>HCM</v>
      </c>
      <c r="G560">
        <v>3</v>
      </c>
      <c r="H560">
        <v>6</v>
      </c>
      <c r="K560">
        <f>J560+H560-I560</f>
        <v>6</v>
      </c>
      <c r="L560">
        <f>G560*K560</f>
        <v>18</v>
      </c>
    </row>
    <row r="561">
      <c r="A561" t="str">
        <v>IT-27</v>
      </c>
      <c r="B561" t="str">
        <v>item</v>
      </c>
      <c r="C561" t="str">
        <v>LUMIOSE GALETTE</v>
      </c>
      <c r="D561" t="str">
        <v>POR 78/88</v>
      </c>
      <c r="E561" t="str">
        <v>normal</v>
      </c>
      <c r="F561" t="str">
        <v>HCM</v>
      </c>
      <c r="G561">
        <v>3</v>
      </c>
      <c r="H561">
        <v>1</v>
      </c>
      <c r="K561">
        <f>J561+H561-I561</f>
        <v>1</v>
      </c>
      <c r="L561">
        <f>G561*K561</f>
        <v>3</v>
      </c>
    </row>
    <row r="562">
      <c r="A562" t="str">
        <v>IT-16</v>
      </c>
      <c r="B562" t="str">
        <v>item</v>
      </c>
      <c r="C562" t="str">
        <v xml:space="preserve">ENERGY SWATTER </v>
      </c>
      <c r="D562" t="str">
        <v>POR 73/88</v>
      </c>
      <c r="E562" t="str">
        <v>holo</v>
      </c>
      <c r="F562" t="str">
        <v>HCM</v>
      </c>
      <c r="H562">
        <v>2</v>
      </c>
      <c r="K562">
        <f>J562+H562-I562</f>
        <v>2</v>
      </c>
      <c r="L562">
        <f>G562*K562</f>
        <v>0</v>
      </c>
    </row>
    <row r="563">
      <c r="A563" t="str">
        <v>IT-16</v>
      </c>
      <c r="B563" t="str">
        <v>item</v>
      </c>
      <c r="C563" t="str">
        <v xml:space="preserve">ENERGY SWATTER </v>
      </c>
      <c r="D563" t="str">
        <v>POR 73/88</v>
      </c>
      <c r="E563" t="str">
        <v>normal</v>
      </c>
      <c r="F563" t="str">
        <v>HCM</v>
      </c>
      <c r="G563">
        <v>3</v>
      </c>
      <c r="H563">
        <v>42</v>
      </c>
      <c r="K563">
        <f>J563+H563-I563</f>
        <v>42</v>
      </c>
      <c r="L563">
        <f>G563*K563</f>
        <v>126</v>
      </c>
    </row>
    <row r="564">
      <c r="A564" t="str">
        <v>IT-17A</v>
      </c>
      <c r="B564" t="str">
        <v>item</v>
      </c>
      <c r="C564" t="str">
        <v>ENERGY SEARCH</v>
      </c>
      <c r="D564" t="str">
        <v>SVI 172/198</v>
      </c>
      <c r="E564" t="str">
        <v>normal</v>
      </c>
      <c r="F564" t="str">
        <v>HCM</v>
      </c>
      <c r="G564">
        <v>4</v>
      </c>
      <c r="H564">
        <v>2</v>
      </c>
      <c r="K564">
        <f>J564+H564-I564</f>
        <v>2</v>
      </c>
      <c r="L564">
        <f>G564*K564</f>
        <v>8</v>
      </c>
    </row>
    <row r="565">
      <c r="A565" t="str">
        <v>IT-17A</v>
      </c>
      <c r="B565" t="str">
        <v>item</v>
      </c>
      <c r="C565" t="str">
        <v>ENERGY SEARCH</v>
      </c>
      <c r="D565" t="str">
        <v>SVI 172/198</v>
      </c>
      <c r="E565" t="str">
        <v>holo</v>
      </c>
      <c r="F565" t="str">
        <v>HCM</v>
      </c>
      <c r="G565">
        <v>5</v>
      </c>
      <c r="H565">
        <v>1</v>
      </c>
      <c r="K565">
        <f>J565+H565-I565</f>
        <v>1</v>
      </c>
      <c r="L565">
        <f>G565*K565</f>
        <v>5</v>
      </c>
    </row>
    <row r="566">
      <c r="A566" t="str">
        <v>IT-17A</v>
      </c>
      <c r="B566" t="str">
        <v>item</v>
      </c>
      <c r="C566" t="str">
        <v>ENERGY SEARCH</v>
      </c>
      <c r="D566" t="str">
        <v>POR 72/88</v>
      </c>
      <c r="E566" t="str">
        <v>normal</v>
      </c>
      <c r="F566" t="str">
        <v>HCM</v>
      </c>
      <c r="G566">
        <v>4</v>
      </c>
      <c r="H566">
        <v>2</v>
      </c>
      <c r="K566">
        <f>J566+H566-I566</f>
        <v>2</v>
      </c>
      <c r="L566">
        <f>G566*K566</f>
        <v>8</v>
      </c>
    </row>
    <row r="567">
      <c r="A567" t="str">
        <v>IT-17A</v>
      </c>
      <c r="B567" t="str">
        <v>item</v>
      </c>
      <c r="C567" t="str">
        <v>ENERGY SEARCH</v>
      </c>
      <c r="D567" t="str">
        <v>POR 72/88</v>
      </c>
      <c r="E567" t="str">
        <v>holo</v>
      </c>
      <c r="F567" t="str">
        <v>HCM</v>
      </c>
      <c r="G567">
        <v>6</v>
      </c>
      <c r="H567">
        <v>2</v>
      </c>
      <c r="K567">
        <f>J567+H567-I567</f>
        <v>2</v>
      </c>
      <c r="L567">
        <f>G567*K567</f>
        <v>12</v>
      </c>
    </row>
    <row r="568">
      <c r="A568" t="str">
        <v>IT-17A</v>
      </c>
      <c r="B568" t="str">
        <v>item</v>
      </c>
      <c r="C568" t="str">
        <v>ENERGY SEARCH</v>
      </c>
      <c r="D568" t="str">
        <v>F 128/159</v>
      </c>
      <c r="E568" t="str">
        <v>normal</v>
      </c>
      <c r="F568" t="str">
        <v>HCM</v>
      </c>
      <c r="G568">
        <v>5</v>
      </c>
      <c r="H568">
        <v>10</v>
      </c>
      <c r="K568">
        <f>J568+H568-I568</f>
        <v>10</v>
      </c>
      <c r="L568">
        <f>G568*K568</f>
        <v>50</v>
      </c>
    </row>
    <row r="569">
      <c r="A569" t="str">
        <v>IT-48</v>
      </c>
      <c r="B569" t="str">
        <v>item</v>
      </c>
      <c r="C569" t="str">
        <v>REDEEMABLE TICKET</v>
      </c>
      <c r="D569" t="str">
        <v>JTG 156/159</v>
      </c>
      <c r="E569" t="str">
        <v>normal</v>
      </c>
      <c r="F569" t="str">
        <v>HCM</v>
      </c>
      <c r="G569">
        <v>7</v>
      </c>
      <c r="H569">
        <v>11</v>
      </c>
      <c r="K569">
        <f>J569+H569-I569</f>
        <v>11</v>
      </c>
      <c r="L569">
        <f>G569*K569</f>
        <v>77</v>
      </c>
    </row>
    <row r="570">
      <c r="A570" t="str">
        <v>IT-49</v>
      </c>
      <c r="B570" t="str">
        <v>item</v>
      </c>
      <c r="C570" t="str">
        <v xml:space="preserve">REPEL </v>
      </c>
      <c r="D570" t="str">
        <v>MEG 126/132</v>
      </c>
      <c r="E570" t="str">
        <v>normal</v>
      </c>
      <c r="F570" t="str">
        <v>HCM</v>
      </c>
      <c r="G570">
        <v>3</v>
      </c>
      <c r="H570">
        <v>9</v>
      </c>
      <c r="K570">
        <f>J570+H570-I570</f>
        <v>9</v>
      </c>
      <c r="L570">
        <f>G570*K570</f>
        <v>27</v>
      </c>
    </row>
    <row r="571">
      <c r="A571" t="str">
        <v>IT-49</v>
      </c>
      <c r="B571" t="str">
        <v>item</v>
      </c>
      <c r="C571" t="str">
        <v xml:space="preserve">REPEL </v>
      </c>
      <c r="D571" t="str">
        <v>MEG 126/132</v>
      </c>
      <c r="E571" t="str">
        <v>holo</v>
      </c>
      <c r="F571" t="str">
        <v>HCM</v>
      </c>
      <c r="G571">
        <v>3</v>
      </c>
      <c r="H571">
        <v>3</v>
      </c>
      <c r="K571">
        <f>J571+H571-I571</f>
        <v>3</v>
      </c>
      <c r="L571">
        <f>G571*K571</f>
        <v>9</v>
      </c>
    </row>
    <row r="572">
      <c r="A572" t="str">
        <v>IT-02</v>
      </c>
      <c r="B572" t="str">
        <v>item</v>
      </c>
      <c r="C572" t="str">
        <v>BLOWTORCH</v>
      </c>
      <c r="D572" t="str">
        <v>MEG 86/94</v>
      </c>
      <c r="E572" t="str">
        <v>normal</v>
      </c>
      <c r="F572" t="str">
        <v>HCM</v>
      </c>
      <c r="G572">
        <v>3</v>
      </c>
      <c r="H572">
        <v>31</v>
      </c>
      <c r="K572">
        <f>J572+H572-I572</f>
        <v>31</v>
      </c>
      <c r="L572">
        <f>G572*K572</f>
        <v>93</v>
      </c>
    </row>
    <row r="573">
      <c r="A573" t="str">
        <v>IT-02</v>
      </c>
      <c r="B573" t="str">
        <v>item</v>
      </c>
      <c r="C573" t="str">
        <v>BLOWTORCH</v>
      </c>
      <c r="D573" t="str">
        <v>MEG 86/94</v>
      </c>
      <c r="E573" t="str">
        <v>holo</v>
      </c>
      <c r="F573" t="str">
        <v>HCM</v>
      </c>
      <c r="G573">
        <v>3</v>
      </c>
      <c r="H573">
        <v>10</v>
      </c>
      <c r="K573">
        <f>J573+H573-I573</f>
        <v>10</v>
      </c>
      <c r="L573">
        <f>G573*K573</f>
        <v>30</v>
      </c>
    </row>
    <row r="574">
      <c r="A574" t="str">
        <v>SPE-08</v>
      </c>
      <c r="B574" t="str">
        <v>special energy</v>
      </c>
      <c r="C574" t="str">
        <v xml:space="preserve">GROWING ENERGY </v>
      </c>
      <c r="D574" t="str">
        <v>POR 86/88</v>
      </c>
      <c r="E574" t="str">
        <v>normal</v>
      </c>
      <c r="F574" t="str">
        <v>HCM</v>
      </c>
      <c r="G574">
        <v>6</v>
      </c>
      <c r="H574">
        <v>2</v>
      </c>
      <c r="K574">
        <f>J574+H574-I574</f>
        <v>2</v>
      </c>
      <c r="L574">
        <f>G574*K574</f>
        <v>12</v>
      </c>
    </row>
    <row r="575">
      <c r="A575" t="str">
        <v>SPE-09</v>
      </c>
      <c r="B575" t="str">
        <v>special energy</v>
      </c>
      <c r="C575" t="str">
        <v xml:space="preserve">ROCKY ENERGY </v>
      </c>
      <c r="D575" t="str">
        <v>POR 87/88</v>
      </c>
      <c r="E575" t="str">
        <v>normal</v>
      </c>
      <c r="F575" t="str">
        <v>HCM</v>
      </c>
      <c r="G575">
        <v>7</v>
      </c>
      <c r="H575">
        <v>1</v>
      </c>
      <c r="K575">
        <f>J575+H575-I575</f>
        <v>1</v>
      </c>
      <c r="L575">
        <f>G575*K575</f>
        <v>7</v>
      </c>
    </row>
    <row r="576">
      <c r="A576" t="str">
        <v>SPE-03</v>
      </c>
      <c r="B576" t="str">
        <v>special energy</v>
      </c>
      <c r="C576" t="str">
        <v>SPIKY ENERGY</v>
      </c>
      <c r="D576" t="str">
        <v>JTG  159/159</v>
      </c>
      <c r="E576" t="str">
        <v>normal</v>
      </c>
      <c r="F576" t="str">
        <v>HCM</v>
      </c>
      <c r="G576">
        <v>4</v>
      </c>
      <c r="H576">
        <v>7</v>
      </c>
      <c r="K576">
        <f>J576+H576-I576</f>
        <v>7</v>
      </c>
      <c r="L576">
        <f>G576*K576</f>
        <v>28</v>
      </c>
    </row>
    <row r="577">
      <c r="A577" t="str">
        <v>SPE-03</v>
      </c>
      <c r="B577" t="str">
        <v>special energy</v>
      </c>
      <c r="C577" t="str">
        <v>SPIKY ENERGY</v>
      </c>
      <c r="D577" t="str">
        <v>JTG  159/159</v>
      </c>
      <c r="E577" t="str">
        <v>holo</v>
      </c>
      <c r="F577" t="str">
        <v>HCM</v>
      </c>
      <c r="G577">
        <v>5</v>
      </c>
      <c r="H577">
        <v>1</v>
      </c>
      <c r="K577">
        <f>J577+H577-I577</f>
        <v>1</v>
      </c>
      <c r="L577">
        <f>G577*K577</f>
        <v>5</v>
      </c>
    </row>
    <row r="578">
      <c r="A578" t="str">
        <v>PO-DB-03</v>
      </c>
      <c r="B578" t="str">
        <v>pokemon</v>
      </c>
      <c r="C578" t="str">
        <v>GASTLY</v>
      </c>
      <c r="D578" t="str">
        <v>PFL 54/94</v>
      </c>
      <c r="E578" t="str">
        <v>normal</v>
      </c>
      <c r="F578" t="str">
        <v>HCM</v>
      </c>
      <c r="G578">
        <v>4</v>
      </c>
      <c r="H578">
        <v>4</v>
      </c>
      <c r="K578">
        <f>J578+H578-I578</f>
        <v>4</v>
      </c>
      <c r="L578">
        <f>G578*K578</f>
        <v>16</v>
      </c>
    </row>
    <row r="579">
      <c r="A579" t="str">
        <v>PO-DB-03</v>
      </c>
      <c r="B579" t="str">
        <v>pokemon</v>
      </c>
      <c r="C579" t="str">
        <v>GASTLY</v>
      </c>
      <c r="D579" t="str">
        <v>PFL 54/94</v>
      </c>
      <c r="E579" t="str">
        <v>holo</v>
      </c>
      <c r="F579" t="str">
        <v>HCM</v>
      </c>
      <c r="G579">
        <v>3</v>
      </c>
      <c r="H579">
        <v>3</v>
      </c>
      <c r="K579">
        <f>J579+H579-I579</f>
        <v>3</v>
      </c>
      <c r="L579">
        <f>G579*K579</f>
        <v>9</v>
      </c>
    </row>
    <row r="580">
      <c r="A580" t="str">
        <v>PO-LB-13</v>
      </c>
      <c r="B580" t="str">
        <v>pokemon</v>
      </c>
      <c r="C580" t="str">
        <v xml:space="preserve">SEAKING </v>
      </c>
      <c r="D580" t="str">
        <v xml:space="preserve">PRE 21/131 </v>
      </c>
      <c r="E580" t="str">
        <v>holo</v>
      </c>
      <c r="F580" t="str">
        <v>HCM</v>
      </c>
      <c r="G580">
        <v>3</v>
      </c>
      <c r="H580">
        <v>2</v>
      </c>
      <c r="K580">
        <f>J580+H580-I580</f>
        <v>2</v>
      </c>
      <c r="L580">
        <f>G580*K580</f>
        <v>6</v>
      </c>
    </row>
    <row r="581">
      <c r="A581" t="str">
        <v>PO-LB-13</v>
      </c>
      <c r="B581" t="str">
        <v>pokemon</v>
      </c>
      <c r="C581" t="str">
        <v xml:space="preserve">SEAKING </v>
      </c>
      <c r="D581" t="str">
        <v xml:space="preserve">PRE 21/131 </v>
      </c>
      <c r="E581" t="str">
        <v>normal</v>
      </c>
      <c r="F581" t="str">
        <v>HCM</v>
      </c>
      <c r="G581">
        <v>3</v>
      </c>
      <c r="H581">
        <v>10</v>
      </c>
      <c r="K581">
        <f>J581+H581-I581</f>
        <v>10</v>
      </c>
      <c r="L581">
        <f>G581*K581</f>
        <v>30</v>
      </c>
    </row>
    <row r="582">
      <c r="A582" t="str">
        <v>PO-Y-37</v>
      </c>
      <c r="B582" t="str">
        <v>pokemon</v>
      </c>
      <c r="C582" t="str">
        <v>RELICANTH</v>
      </c>
      <c r="D582" t="str">
        <v>TEF 84/162</v>
      </c>
      <c r="E582" t="str">
        <v>holo</v>
      </c>
      <c r="F582" t="str">
        <v>HCM</v>
      </c>
      <c r="G582">
        <v>4</v>
      </c>
      <c r="H582">
        <v>7</v>
      </c>
      <c r="K582">
        <f>J582+H582-I582</f>
        <v>7</v>
      </c>
      <c r="L582">
        <f>G582*K582</f>
        <v>28</v>
      </c>
    </row>
    <row r="583">
      <c r="A583" t="str">
        <v>PO-W-02</v>
      </c>
      <c r="B583" t="str">
        <v>pokemon</v>
      </c>
      <c r="C583" t="str">
        <v xml:space="preserve">BUNEARY </v>
      </c>
      <c r="D583" t="str">
        <v>PFL 83/94</v>
      </c>
      <c r="E583" t="str">
        <v>holo</v>
      </c>
      <c r="F583" t="str">
        <v>HCM</v>
      </c>
      <c r="G583">
        <v>4</v>
      </c>
      <c r="H583">
        <v>4</v>
      </c>
      <c r="K583">
        <f>J583+H583-I583</f>
        <v>4</v>
      </c>
      <c r="L583">
        <f>G583*K583</f>
        <v>16</v>
      </c>
    </row>
    <row r="584">
      <c r="A584" t="str">
        <v>PO-W-02</v>
      </c>
      <c r="B584" t="str">
        <v>pokemon</v>
      </c>
      <c r="C584" t="str">
        <v xml:space="preserve">BUNEARY </v>
      </c>
      <c r="D584" t="str">
        <v>PFL 83/94</v>
      </c>
      <c r="E584" t="str">
        <v>normal</v>
      </c>
      <c r="F584" t="str">
        <v>HCM</v>
      </c>
      <c r="G584">
        <v>3</v>
      </c>
      <c r="H584">
        <v>7</v>
      </c>
      <c r="K584">
        <f>J584+H584-I584</f>
        <v>7</v>
      </c>
      <c r="L584">
        <f>G584*K584</f>
        <v>21</v>
      </c>
    </row>
    <row r="585">
      <c r="B585" t="str">
        <v>pokemon</v>
      </c>
      <c r="C585" t="str">
        <v>TYNAMO</v>
      </c>
      <c r="D585" t="str">
        <v>BLK 30/86</v>
      </c>
      <c r="E585" t="str">
        <v>normal</v>
      </c>
      <c r="F585" t="str">
        <v>SYDNEY</v>
      </c>
      <c r="G585">
        <v>3</v>
      </c>
      <c r="H585">
        <v>4</v>
      </c>
      <c r="K585">
        <f>J585+H585-I585</f>
        <v>4</v>
      </c>
      <c r="L585">
        <f>G585*K585</f>
        <v>12</v>
      </c>
    </row>
    <row r="586">
      <c r="B586" t="str">
        <v>pokemon</v>
      </c>
      <c r="C586" t="str">
        <v>TYNAMO</v>
      </c>
      <c r="D586" t="str">
        <v>ASC 59/217</v>
      </c>
      <c r="E586" t="str">
        <v>holo</v>
      </c>
      <c r="F586" t="str">
        <v>SYDNEY</v>
      </c>
      <c r="G586">
        <v>4</v>
      </c>
      <c r="H586">
        <v>1</v>
      </c>
      <c r="K586">
        <f>J586+H586-I586</f>
        <v>1</v>
      </c>
      <c r="L586">
        <f>G586*K586</f>
        <v>4</v>
      </c>
    </row>
    <row r="587">
      <c r="A587" t="str">
        <v>PO-Y-07</v>
      </c>
      <c r="B587" t="str">
        <v>pokemon</v>
      </c>
      <c r="C587" t="str">
        <v>EELEKTRIK</v>
      </c>
      <c r="D587" t="str">
        <v>ASC 60/217</v>
      </c>
      <c r="E587" t="str">
        <v>normal</v>
      </c>
      <c r="F587" t="str">
        <v>HCM</v>
      </c>
      <c r="G587">
        <v>4</v>
      </c>
      <c r="H587">
        <v>11</v>
      </c>
      <c r="K587">
        <f>J587+H587-I587</f>
        <v>11</v>
      </c>
      <c r="L587">
        <f>G587*K587</f>
        <v>44</v>
      </c>
    </row>
    <row r="588">
      <c r="A588" t="str">
        <v>PO-Y-07</v>
      </c>
      <c r="B588" t="str">
        <v>pokemon</v>
      </c>
      <c r="C588" t="str">
        <v>EELEKTRIK</v>
      </c>
      <c r="D588" t="str">
        <v>BLK 31/86</v>
      </c>
      <c r="E588" t="str">
        <v>normal</v>
      </c>
      <c r="F588" t="str">
        <v>HCM</v>
      </c>
      <c r="G588">
        <v>4</v>
      </c>
      <c r="H588">
        <v>11</v>
      </c>
      <c r="K588">
        <f>J588+H588-I588</f>
        <v>11</v>
      </c>
      <c r="L588">
        <f>G588*K588</f>
        <v>44</v>
      </c>
    </row>
    <row r="589">
      <c r="A589" t="str">
        <v>PO-DB-18</v>
      </c>
      <c r="B589" t="str">
        <v>pokemon</v>
      </c>
      <c r="C589" t="str">
        <v xml:space="preserve">YVELTAL </v>
      </c>
      <c r="D589" t="str">
        <v>MEG 88/132</v>
      </c>
      <c r="E589" t="str">
        <v>normal</v>
      </c>
      <c r="F589" t="str">
        <v>HCM</v>
      </c>
      <c r="G589">
        <v>5</v>
      </c>
      <c r="H589">
        <v>9</v>
      </c>
      <c r="K589">
        <f>J589+H589-I589</f>
        <v>9</v>
      </c>
      <c r="L589">
        <f>G589*K589</f>
        <v>45</v>
      </c>
    </row>
    <row r="590">
      <c r="A590" t="str">
        <v>PO-DB-18</v>
      </c>
      <c r="B590" t="str">
        <v>pokemon</v>
      </c>
      <c r="C590" t="str">
        <v xml:space="preserve">YVELTAL </v>
      </c>
      <c r="D590" t="str">
        <v>MEG 88/132</v>
      </c>
      <c r="E590" t="str">
        <v>holo</v>
      </c>
      <c r="F590" t="str">
        <v>HCM</v>
      </c>
      <c r="G590">
        <v>6</v>
      </c>
      <c r="H590">
        <v>3</v>
      </c>
      <c r="K590">
        <f>J590+H590-I590</f>
        <v>3</v>
      </c>
      <c r="L590">
        <f>G590*K590</f>
        <v>18</v>
      </c>
    </row>
    <row r="591">
      <c r="A591" t="str">
        <v>PO-DB-17</v>
      </c>
      <c r="B591" t="str">
        <v>pokemon</v>
      </c>
      <c r="C591" t="str">
        <v xml:space="preserve">N'S ZORUA </v>
      </c>
      <c r="D591" t="str">
        <v>JTG 97/159</v>
      </c>
      <c r="E591" t="str">
        <v>holo</v>
      </c>
      <c r="F591" t="str">
        <v>HCM</v>
      </c>
      <c r="G591">
        <v>6</v>
      </c>
      <c r="H591">
        <v>1</v>
      </c>
      <c r="K591">
        <f>J591+H591-I591</f>
        <v>1</v>
      </c>
      <c r="L591">
        <f>G591*K591</f>
        <v>6</v>
      </c>
    </row>
    <row r="592">
      <c r="A592" t="str">
        <v>PO-DB-17</v>
      </c>
      <c r="B592" t="str">
        <v>pokemon</v>
      </c>
      <c r="C592" t="str">
        <v xml:space="preserve">N'S ZORUA </v>
      </c>
      <c r="D592" t="str">
        <v>JTG 97/159</v>
      </c>
      <c r="E592" t="str">
        <v>normal</v>
      </c>
      <c r="F592" t="str">
        <v>HCM</v>
      </c>
      <c r="G592">
        <v>5</v>
      </c>
      <c r="H592">
        <v>3</v>
      </c>
      <c r="K592">
        <f>J592+H592-I592</f>
        <v>3</v>
      </c>
      <c r="L592">
        <f>G592*K592</f>
        <v>15</v>
      </c>
    </row>
    <row r="593">
      <c r="A593" t="str">
        <v>PO-DB-17</v>
      </c>
      <c r="B593" t="str">
        <v>pokemon</v>
      </c>
      <c r="C593" t="str">
        <v xml:space="preserve">N'S ZORUA </v>
      </c>
      <c r="D593" t="str">
        <v>ASC EN 136/217</v>
      </c>
      <c r="E593" t="str">
        <v>normal</v>
      </c>
      <c r="F593" t="str">
        <v>HCM</v>
      </c>
      <c r="G593">
        <v>5</v>
      </c>
      <c r="H593">
        <v>3</v>
      </c>
      <c r="K593">
        <f>J593+H593-I593</f>
        <v>3</v>
      </c>
      <c r="L593">
        <f>G593*K593</f>
        <v>15</v>
      </c>
    </row>
    <row r="594">
      <c r="A594" t="str">
        <v>PO-W-03</v>
      </c>
      <c r="B594" t="str">
        <v>pokemon</v>
      </c>
      <c r="C594" t="str">
        <v xml:space="preserve">HOP'S CRAMORANT </v>
      </c>
      <c r="D594" t="str">
        <v>JTG 138/159</v>
      </c>
      <c r="E594" t="str">
        <v>normal</v>
      </c>
      <c r="F594" t="str">
        <v>HCM</v>
      </c>
      <c r="G594">
        <v>3</v>
      </c>
      <c r="H594">
        <v>9</v>
      </c>
      <c r="K594">
        <f>J594+H594-I594</f>
        <v>9</v>
      </c>
      <c r="L594">
        <f>G594*K594</f>
        <v>27</v>
      </c>
    </row>
    <row r="595">
      <c r="A595" t="str">
        <v>PO-W-20</v>
      </c>
      <c r="B595" t="str">
        <v>pokemon</v>
      </c>
      <c r="C595" t="str">
        <v>LARRY 'S KOMALA</v>
      </c>
      <c r="D595" t="str">
        <v>ASC 175/217</v>
      </c>
      <c r="E595" t="str">
        <v>normal</v>
      </c>
      <c r="F595" t="str">
        <v>HCM</v>
      </c>
      <c r="G595">
        <v>3</v>
      </c>
      <c r="H595">
        <v>2</v>
      </c>
      <c r="K595">
        <f>J595+H595-I595</f>
        <v>2</v>
      </c>
      <c r="L595">
        <f>G595*K595</f>
        <v>6</v>
      </c>
    </row>
    <row r="596">
      <c r="A596" t="str">
        <v>PO-P-09</v>
      </c>
      <c r="B596" t="str">
        <v>pokemon</v>
      </c>
      <c r="C596" t="str">
        <v xml:space="preserve">ELGYEM  </v>
      </c>
      <c r="D596" t="str">
        <v>BLK 40/86</v>
      </c>
      <c r="E596" t="str">
        <v>normal</v>
      </c>
      <c r="F596" t="str">
        <v>HCM</v>
      </c>
      <c r="G596">
        <v>2</v>
      </c>
      <c r="H596">
        <v>5</v>
      </c>
      <c r="K596">
        <f>J596+H596-I596</f>
        <v>5</v>
      </c>
      <c r="L596">
        <f>G596*K596</f>
        <v>10</v>
      </c>
    </row>
    <row r="597">
      <c r="A597" t="str">
        <v>PO-W-32</v>
      </c>
      <c r="B597" t="str">
        <v>pokemon</v>
      </c>
      <c r="C597" t="str">
        <v>HOP'S SNORLAX</v>
      </c>
      <c r="D597" t="str">
        <v>JTG 117/159</v>
      </c>
      <c r="E597" t="str">
        <v>normal</v>
      </c>
      <c r="F597" t="str">
        <v>HCM</v>
      </c>
      <c r="G597">
        <v>4</v>
      </c>
      <c r="H597">
        <v>3</v>
      </c>
      <c r="K597">
        <f>J597+H597-I597</f>
        <v>3</v>
      </c>
      <c r="L597">
        <f>G597*K597</f>
        <v>12</v>
      </c>
    </row>
    <row r="598">
      <c r="A598" t="str">
        <v>PO-Y-14</v>
      </c>
      <c r="B598" t="str">
        <v>pokemon</v>
      </c>
      <c r="C598" t="str">
        <v xml:space="preserve">GREAT TUSK </v>
      </c>
      <c r="D598" t="str">
        <v>PRE  55/131</v>
      </c>
      <c r="E598" t="str">
        <v>normal</v>
      </c>
      <c r="F598" t="str">
        <v>HCM</v>
      </c>
      <c r="G598">
        <v>3</v>
      </c>
      <c r="H598">
        <v>2</v>
      </c>
      <c r="K598">
        <f>J598+H598-I598</f>
        <v>2</v>
      </c>
      <c r="L598">
        <f>G598*K598</f>
        <v>6</v>
      </c>
    </row>
    <row r="599">
      <c r="A599" t="str">
        <v>PO-LB-10</v>
      </c>
      <c r="B599" t="str">
        <v>pokemon</v>
      </c>
      <c r="C599" t="str">
        <v xml:space="preserve">PALAFIN </v>
      </c>
      <c r="D599" t="str">
        <v>TWM 60/167</v>
      </c>
      <c r="E599" t="str">
        <v>normal</v>
      </c>
      <c r="F599" t="str">
        <v>HCM</v>
      </c>
      <c r="G599">
        <v>2</v>
      </c>
      <c r="H599">
        <v>2</v>
      </c>
      <c r="K599">
        <f>J599+H599-I599</f>
        <v>2</v>
      </c>
      <c r="L599">
        <f>G599*K599</f>
        <v>4</v>
      </c>
    </row>
    <row r="600">
      <c r="A600" t="str">
        <v>PO-P-13</v>
      </c>
      <c r="B600" t="str">
        <v>pokemon</v>
      </c>
      <c r="C600" t="str">
        <v>FLUTTER MANE</v>
      </c>
      <c r="D600" t="str">
        <v>PRE 43/131</v>
      </c>
      <c r="E600" t="str">
        <v>holo</v>
      </c>
      <c r="F600" t="str">
        <v>HCM</v>
      </c>
      <c r="G600">
        <v>5</v>
      </c>
      <c r="H600">
        <v>5</v>
      </c>
      <c r="K600">
        <f>J600+H600-I600</f>
        <v>5</v>
      </c>
      <c r="L600">
        <f>G600*K600</f>
        <v>25</v>
      </c>
    </row>
    <row r="601">
      <c r="A601" t="str">
        <v>PO-P-13</v>
      </c>
      <c r="B601" t="str">
        <v>pokemon</v>
      </c>
      <c r="C601" t="str">
        <v>FLUTTER MANE</v>
      </c>
      <c r="D601" t="str">
        <v>SSP EN 096/191</v>
      </c>
      <c r="E601" t="str">
        <v>normal</v>
      </c>
      <c r="F601" t="str">
        <v>HCM</v>
      </c>
      <c r="G601">
        <v>3</v>
      </c>
      <c r="H601">
        <v>1</v>
      </c>
      <c r="K601">
        <f>J601+H601-I601</f>
        <v>1</v>
      </c>
      <c r="L601">
        <f>G601*K601</f>
        <v>3</v>
      </c>
    </row>
    <row r="602">
      <c r="A602" t="str">
        <v>PO-P-32</v>
      </c>
      <c r="B602" t="str">
        <v>pokemon</v>
      </c>
      <c r="C602" t="str">
        <v>TOGETIC</v>
      </c>
      <c r="D602" t="str">
        <v>ASC 81/217</v>
      </c>
      <c r="E602" t="str">
        <v>normal</v>
      </c>
      <c r="F602" t="str">
        <v>HCM</v>
      </c>
      <c r="G602">
        <v>3</v>
      </c>
      <c r="H602">
        <v>2</v>
      </c>
      <c r="K602">
        <f>J602+H602-I602</f>
        <v>2</v>
      </c>
    </row>
    <row r="603">
      <c r="A603" t="str">
        <v>PO-P-25</v>
      </c>
      <c r="B603" t="str">
        <v>pokemon</v>
      </c>
      <c r="C603" t="str">
        <v xml:space="preserve">TOGEKISS </v>
      </c>
      <c r="D603" t="str">
        <v>SSP 72/191</v>
      </c>
      <c r="E603" t="str">
        <v>holo</v>
      </c>
      <c r="F603" t="str">
        <v>HCM</v>
      </c>
      <c r="G603">
        <v>3</v>
      </c>
      <c r="H603">
        <v>7</v>
      </c>
      <c r="K603">
        <f>J603+H603-I603</f>
        <v>7</v>
      </c>
      <c r="L603">
        <f>G603*K603</f>
        <v>21</v>
      </c>
    </row>
    <row r="604">
      <c r="A604" t="str">
        <v>PO-P-24</v>
      </c>
      <c r="B604" t="str">
        <v>pokemon</v>
      </c>
      <c r="C604" t="str">
        <v>TOGEPI</v>
      </c>
      <c r="D604" t="str">
        <v>SSP 70/191</v>
      </c>
      <c r="E604" t="str">
        <v>holo</v>
      </c>
      <c r="F604" t="str">
        <v>HCM</v>
      </c>
      <c r="G604">
        <v>3</v>
      </c>
      <c r="H604">
        <v>1</v>
      </c>
      <c r="K604">
        <f>J604+H604-I604</f>
        <v>1</v>
      </c>
      <c r="L604">
        <f>G604*K604</f>
        <v>3</v>
      </c>
    </row>
    <row r="605">
      <c r="A605" t="str">
        <v>PO-P-24</v>
      </c>
      <c r="B605" t="str">
        <v>pokemon</v>
      </c>
      <c r="C605" t="str">
        <v>TOGEPI</v>
      </c>
      <c r="D605" t="str">
        <v>ASC 80/217</v>
      </c>
      <c r="E605" t="str">
        <v>normal</v>
      </c>
      <c r="F605" t="str">
        <v>HCM</v>
      </c>
      <c r="G605">
        <v>2</v>
      </c>
      <c r="H605">
        <v>13</v>
      </c>
      <c r="K605">
        <f>J605+H605-I605</f>
        <v>13</v>
      </c>
    </row>
    <row r="606">
      <c r="A606" t="str">
        <v>PO-Y-22</v>
      </c>
      <c r="B606" t="str">
        <v>pokemon</v>
      </c>
      <c r="C606" t="str">
        <v>MAGNETON</v>
      </c>
      <c r="D606" t="str">
        <v>SSP 59/191</v>
      </c>
      <c r="E606" t="str">
        <v>normal</v>
      </c>
      <c r="F606" t="str">
        <v>HCM</v>
      </c>
      <c r="G606">
        <v>3</v>
      </c>
      <c r="H606">
        <v>1</v>
      </c>
      <c r="K606">
        <f>J606+H606-I606</f>
        <v>1</v>
      </c>
      <c r="L606">
        <f>G606*K606</f>
        <v>3</v>
      </c>
    </row>
    <row r="607">
      <c r="A607" t="str">
        <v>PC-PO-016</v>
      </c>
      <c r="B607" t="str">
        <v>pokemon</v>
      </c>
      <c r="C607" t="str">
        <v>MAGNETON</v>
      </c>
      <c r="D607" t="str">
        <v>SSP 59/191</v>
      </c>
      <c r="E607" t="str">
        <v>prize card</v>
      </c>
      <c r="F607" t="str">
        <v>HCM</v>
      </c>
      <c r="G607">
        <v>3</v>
      </c>
      <c r="H607">
        <v>1</v>
      </c>
      <c r="K607">
        <f>J607+H607-I607</f>
        <v>1</v>
      </c>
      <c r="L607">
        <f>G607*K607</f>
        <v>3</v>
      </c>
    </row>
    <row r="608">
      <c r="A608" t="str">
        <v>PO-Y-22</v>
      </c>
      <c r="B608" t="str">
        <v>pokemon</v>
      </c>
      <c r="C608" t="str">
        <v>MAGNETON</v>
      </c>
      <c r="D608" t="str">
        <v>SSP 59/191</v>
      </c>
      <c r="E608" t="str">
        <v>holo</v>
      </c>
      <c r="F608" t="str">
        <v>HCM</v>
      </c>
      <c r="G608">
        <v>3</v>
      </c>
      <c r="H608">
        <v>1</v>
      </c>
      <c r="K608">
        <f>J608+H608-I608</f>
        <v>1</v>
      </c>
      <c r="L608">
        <f>G608*K608</f>
        <v>3</v>
      </c>
    </row>
    <row r="609">
      <c r="A609" t="str">
        <v>PO-Y-21</v>
      </c>
      <c r="B609" t="str">
        <v>pokemon</v>
      </c>
      <c r="C609" t="str">
        <v>MAGNEMITE</v>
      </c>
      <c r="D609" t="str">
        <v>MEG 45/132</v>
      </c>
      <c r="E609" t="str">
        <v>holo</v>
      </c>
      <c r="F609" t="str">
        <v>HCM</v>
      </c>
      <c r="G609">
        <v>4</v>
      </c>
      <c r="H609">
        <v>1</v>
      </c>
      <c r="K609">
        <f>J609+H609-I609</f>
        <v>1</v>
      </c>
      <c r="L609">
        <f>G609*K609</f>
        <v>4</v>
      </c>
    </row>
    <row r="610">
      <c r="A610" t="str">
        <v>PO-Y-21</v>
      </c>
      <c r="B610" t="str">
        <v>pokemon</v>
      </c>
      <c r="C610" t="str">
        <v>MAGNEMITE</v>
      </c>
      <c r="D610" t="str">
        <v>MEG 45/132</v>
      </c>
      <c r="E610" t="str">
        <v>normal</v>
      </c>
      <c r="F610" t="str">
        <v>HCM</v>
      </c>
      <c r="G610">
        <v>4</v>
      </c>
      <c r="H610">
        <v>6</v>
      </c>
      <c r="K610">
        <f>J610+H610-I610</f>
        <v>6</v>
      </c>
      <c r="L610">
        <f>G610*K610</f>
        <v>24</v>
      </c>
    </row>
    <row r="611">
      <c r="A611" t="str">
        <v>PO-Y-21</v>
      </c>
      <c r="B611" t="str">
        <v>pokemon</v>
      </c>
      <c r="C611" t="str">
        <v>MAGNEMITE</v>
      </c>
      <c r="D611" t="str">
        <v>SSP 058/191</v>
      </c>
      <c r="E611" t="str">
        <v>normal</v>
      </c>
      <c r="F611" t="str">
        <v>HCM</v>
      </c>
      <c r="G611">
        <v>4</v>
      </c>
      <c r="H611">
        <v>2</v>
      </c>
      <c r="K611">
        <f>J611+H611-I611</f>
        <v>2</v>
      </c>
      <c r="L611">
        <f>G611*K611</f>
        <v>8</v>
      </c>
    </row>
    <row r="612">
      <c r="A612" t="str">
        <v>PO-Y-06B</v>
      </c>
      <c r="B612" t="str">
        <v>pokemon</v>
      </c>
      <c r="C612" t="str">
        <v>ELECTRIKE</v>
      </c>
      <c r="D612" t="str">
        <v>MEG 49/132</v>
      </c>
      <c r="E612" t="str">
        <v>normal</v>
      </c>
      <c r="F612" t="str">
        <v>HCM</v>
      </c>
      <c r="G612">
        <v>3</v>
      </c>
      <c r="H612">
        <v>3</v>
      </c>
      <c r="K612">
        <f>J612+H612-I612</f>
        <v>3</v>
      </c>
      <c r="L612">
        <f>G612*K612</f>
        <v>9</v>
      </c>
    </row>
    <row r="613">
      <c r="A613" t="str">
        <v>PO-Y-06A</v>
      </c>
      <c r="B613" t="str">
        <v>pokemon</v>
      </c>
      <c r="C613" t="str">
        <v>ELECTRIKE</v>
      </c>
      <c r="D613" t="str">
        <v>DRI 075/182</v>
      </c>
      <c r="E613" t="str">
        <v>holo</v>
      </c>
      <c r="F613" t="str">
        <v>HCM</v>
      </c>
      <c r="G613">
        <v>4</v>
      </c>
      <c r="H613">
        <v>1</v>
      </c>
      <c r="K613">
        <f>J613+H613-I613</f>
        <v>1</v>
      </c>
      <c r="L613">
        <f>G613*K613</f>
        <v>4</v>
      </c>
    </row>
    <row r="614">
      <c r="A614" t="str">
        <v>PO-Y-08</v>
      </c>
      <c r="B614" t="str">
        <v>pokemon</v>
      </c>
      <c r="C614" t="str">
        <v>JOLTIK</v>
      </c>
      <c r="D614" t="str">
        <v>SCR 50/142</v>
      </c>
      <c r="E614" t="str">
        <v>holo</v>
      </c>
      <c r="F614" t="str">
        <v>HCM</v>
      </c>
      <c r="G614">
        <v>4</v>
      </c>
      <c r="H614">
        <v>1</v>
      </c>
      <c r="K614">
        <f>J614+H614-I614</f>
        <v>1</v>
      </c>
      <c r="L614">
        <f>G614*K614</f>
        <v>4</v>
      </c>
    </row>
    <row r="615">
      <c r="A615" t="str">
        <v>PO-Y-08</v>
      </c>
      <c r="B615" t="str">
        <v>pokemon</v>
      </c>
      <c r="C615" t="str">
        <v>JOLTIK</v>
      </c>
      <c r="D615" t="str">
        <v>SCR 50/142</v>
      </c>
      <c r="E615" t="str">
        <v>normal</v>
      </c>
      <c r="F615" t="str">
        <v>HCM</v>
      </c>
      <c r="G615">
        <v>3</v>
      </c>
      <c r="H615">
        <v>8</v>
      </c>
      <c r="K615">
        <f>J615+H615-I615</f>
        <v>8</v>
      </c>
      <c r="L615">
        <f>G615*K615</f>
        <v>24</v>
      </c>
    </row>
    <row r="616">
      <c r="A616" t="str">
        <v>PO-R-16</v>
      </c>
      <c r="B616" t="str">
        <v>pokemon</v>
      </c>
      <c r="C616" t="str">
        <v>MOLTRES</v>
      </c>
      <c r="D616" t="str">
        <v>PFL 14/94</v>
      </c>
      <c r="E616" t="str">
        <v>holo</v>
      </c>
      <c r="F616" t="str">
        <v>HCM</v>
      </c>
      <c r="G616">
        <v>6</v>
      </c>
      <c r="H616">
        <v>20</v>
      </c>
      <c r="J616">
        <v>5</v>
      </c>
      <c r="K616">
        <f>J616+H616-I616</f>
        <v>25</v>
      </c>
      <c r="L616">
        <f>G616*K616</f>
        <v>150</v>
      </c>
    </row>
    <row r="617">
      <c r="A617" t="str">
        <v>PO-R-08</v>
      </c>
      <c r="B617" t="str">
        <v>pokemon</v>
      </c>
      <c r="C617" t="str">
        <v xml:space="preserve">COMBUSKEN </v>
      </c>
      <c r="D617" t="str">
        <v>DRI 41/182</v>
      </c>
      <c r="E617" t="str">
        <v>normal</v>
      </c>
      <c r="F617" t="str">
        <v>HCM</v>
      </c>
      <c r="G617">
        <v>4</v>
      </c>
      <c r="H617">
        <v>18</v>
      </c>
      <c r="K617">
        <f>J617+H617-I617</f>
        <v>18</v>
      </c>
      <c r="L617">
        <f>G617*K617</f>
        <v>72</v>
      </c>
    </row>
    <row r="618">
      <c r="A618" t="str">
        <v>PO-R-08</v>
      </c>
      <c r="B618" t="str">
        <v>pokemon</v>
      </c>
      <c r="C618" t="str">
        <v xml:space="preserve">COMBUSKEN </v>
      </c>
      <c r="D618" t="str">
        <v>DRI 41/182</v>
      </c>
      <c r="E618" t="str">
        <v>holo</v>
      </c>
      <c r="F618" t="str">
        <v>HCM</v>
      </c>
      <c r="G618">
        <v>5</v>
      </c>
      <c r="H618">
        <v>7</v>
      </c>
      <c r="K618">
        <f>J618+H618-I618</f>
        <v>7</v>
      </c>
      <c r="L618">
        <f>G618*K618</f>
        <v>35</v>
      </c>
    </row>
    <row r="619">
      <c r="A619" t="str">
        <v>PO-R-20</v>
      </c>
      <c r="B619" t="str">
        <v>pokemon</v>
      </c>
      <c r="C619" t="str">
        <v>TORCHIC</v>
      </c>
      <c r="D619" t="str">
        <v>DRI 42/182</v>
      </c>
      <c r="E619" t="str">
        <v>normal</v>
      </c>
      <c r="F619" t="str">
        <v>HCM</v>
      </c>
      <c r="G619">
        <v>3</v>
      </c>
      <c r="H619">
        <v>27</v>
      </c>
      <c r="K619">
        <f>J619+H619-I619</f>
        <v>27</v>
      </c>
      <c r="L619">
        <f>G619*K619</f>
        <v>81</v>
      </c>
    </row>
    <row r="620">
      <c r="A620" t="str">
        <v>PO-R-20</v>
      </c>
      <c r="B620" t="str">
        <v>pokemon</v>
      </c>
      <c r="C620" t="str">
        <v>TORCHIC</v>
      </c>
      <c r="D620" t="str">
        <v>DRI 42/182</v>
      </c>
      <c r="E620" t="str">
        <v>holo</v>
      </c>
      <c r="F620" t="str">
        <v>HCM</v>
      </c>
      <c r="G620">
        <v>4</v>
      </c>
      <c r="H620">
        <v>7</v>
      </c>
      <c r="K620">
        <f>J620+H620-I620</f>
        <v>7</v>
      </c>
      <c r="L620">
        <f>G620*K620</f>
        <v>28</v>
      </c>
    </row>
    <row r="621">
      <c r="A621" t="str">
        <v>PO-Y-43</v>
      </c>
      <c r="B621" t="str">
        <v>pokemon</v>
      </c>
      <c r="C621" t="str">
        <v>BLOODMOON URSALUNA</v>
      </c>
      <c r="D621" t="str">
        <v>SFA 25/64</v>
      </c>
      <c r="E621" t="str">
        <v>holo</v>
      </c>
      <c r="F621" t="str">
        <v>HCM</v>
      </c>
      <c r="G621">
        <v>5</v>
      </c>
      <c r="H621">
        <v>1</v>
      </c>
      <c r="K621">
        <f>J621+H621-I621</f>
        <v>1</v>
      </c>
      <c r="L621">
        <f>G621*K621</f>
        <v>5</v>
      </c>
    </row>
    <row r="622">
      <c r="A622" t="str">
        <v>PO-Y-43</v>
      </c>
      <c r="B622" t="str">
        <v>pokemon</v>
      </c>
      <c r="C622" t="str">
        <v>BLOODMOON URSALUNA</v>
      </c>
      <c r="D622" t="str">
        <v>PRE 054/131</v>
      </c>
      <c r="E622" t="str">
        <v>holo</v>
      </c>
      <c r="F622" t="str">
        <v>HCM</v>
      </c>
      <c r="G622">
        <v>5</v>
      </c>
      <c r="H622">
        <v>7</v>
      </c>
      <c r="K622">
        <f>J622+H622-I622</f>
        <v>7</v>
      </c>
      <c r="L622">
        <f>G622*K622</f>
        <v>35</v>
      </c>
    </row>
    <row r="623">
      <c r="A623" t="str">
        <v>EX-DB-05</v>
      </c>
      <c r="B623" t="str">
        <v>pokemon</v>
      </c>
      <c r="C623" t="str">
        <v>OKIDOGI</v>
      </c>
      <c r="D623" t="str">
        <v>SFA 036/064</v>
      </c>
      <c r="E623" t="str">
        <v>ex</v>
      </c>
      <c r="F623" t="str">
        <v>HCM</v>
      </c>
      <c r="G623">
        <v>35</v>
      </c>
      <c r="H623">
        <v>1</v>
      </c>
      <c r="K623">
        <f>J623+H623-I623</f>
        <v>1</v>
      </c>
    </row>
    <row r="624">
      <c r="A624" t="str">
        <v>PO-Y-26</v>
      </c>
      <c r="B624" t="str">
        <v>pokemon</v>
      </c>
      <c r="C624" t="str">
        <v>OKIDOGI</v>
      </c>
      <c r="D624" t="str">
        <v>TWM 111/167</v>
      </c>
      <c r="E624" t="str">
        <v>normal</v>
      </c>
      <c r="F624" t="str">
        <v>HCM</v>
      </c>
      <c r="G624">
        <v>5</v>
      </c>
      <c r="H624">
        <v>10</v>
      </c>
      <c r="K624">
        <f>J624+H624-I624</f>
        <v>10</v>
      </c>
    </row>
    <row r="625">
      <c r="A625" t="str">
        <v>PO-Y-26</v>
      </c>
      <c r="B625" t="str">
        <v>pokemon</v>
      </c>
      <c r="C625" t="str">
        <v>OKIDOGI</v>
      </c>
      <c r="D625" t="str">
        <v>TWM 111/167</v>
      </c>
      <c r="E625" t="str">
        <v>holo</v>
      </c>
      <c r="F625" t="str">
        <v>HCM</v>
      </c>
      <c r="G625">
        <v>5</v>
      </c>
      <c r="H625">
        <v>1</v>
      </c>
      <c r="K625">
        <f>J625+H625-I625</f>
        <v>1</v>
      </c>
      <c r="L625">
        <f>G625*K625</f>
        <v>5</v>
      </c>
    </row>
    <row r="626">
      <c r="A626" t="str">
        <v>PO-Y-26</v>
      </c>
      <c r="B626" t="str">
        <v>pokemon</v>
      </c>
      <c r="C626" t="str">
        <v>OKIDOGI</v>
      </c>
      <c r="D626" t="str">
        <v>PRE 057/131</v>
      </c>
      <c r="E626" t="str">
        <v>normal</v>
      </c>
      <c r="F626" t="str">
        <v>HCM</v>
      </c>
      <c r="G626">
        <v>5</v>
      </c>
      <c r="H626">
        <v>3</v>
      </c>
      <c r="K626">
        <f>J626+H626-I626</f>
        <v>3</v>
      </c>
      <c r="L626">
        <f>G626*K626</f>
        <v>15</v>
      </c>
    </row>
    <row r="627">
      <c r="A627" t="str">
        <v>PO-Y-38</v>
      </c>
      <c r="B627" t="str">
        <v>pokemon</v>
      </c>
      <c r="C627" t="str">
        <v xml:space="preserve">N'S RESHIRAM </v>
      </c>
      <c r="D627" t="str">
        <v>JTG 116/159</v>
      </c>
      <c r="E627" t="str">
        <v>normal</v>
      </c>
      <c r="F627" t="str">
        <v>HCM</v>
      </c>
      <c r="G627">
        <v>6</v>
      </c>
      <c r="H627">
        <v>7</v>
      </c>
      <c r="K627">
        <f>J627+H627-I627</f>
        <v>7</v>
      </c>
      <c r="L627">
        <f>G627*K627</f>
        <v>42</v>
      </c>
    </row>
    <row r="628">
      <c r="A628" t="str">
        <v>PO-Y-38</v>
      </c>
      <c r="B628" t="str">
        <v>pokemon</v>
      </c>
      <c r="C628" t="str">
        <v xml:space="preserve">N'S RESHIRAM </v>
      </c>
      <c r="D628" t="str">
        <v xml:space="preserve"> ASC 154/217</v>
      </c>
      <c r="E628" t="str">
        <v>normal</v>
      </c>
      <c r="F628" t="str">
        <v>HCM</v>
      </c>
      <c r="G628">
        <v>5</v>
      </c>
      <c r="H628">
        <v>2</v>
      </c>
      <c r="K628">
        <f>J628+H628-I628</f>
        <v>2</v>
      </c>
    </row>
    <row r="629">
      <c r="A629" t="str">
        <v>PC-PO-012</v>
      </c>
      <c r="B629" t="str">
        <v>pokemon</v>
      </c>
      <c r="C629" t="str">
        <v xml:space="preserve">N'S RESHIRAM </v>
      </c>
      <c r="D629" t="str">
        <v>JTG EN 116/159</v>
      </c>
      <c r="E629" t="str">
        <v>prize card</v>
      </c>
      <c r="F629" t="str">
        <v>HCM</v>
      </c>
      <c r="G629">
        <v>10</v>
      </c>
      <c r="H629">
        <v>3</v>
      </c>
      <c r="K629">
        <f>J629+H629-I629</f>
        <v>3</v>
      </c>
      <c r="L629">
        <f>G629*K629</f>
        <v>30</v>
      </c>
    </row>
    <row r="630">
      <c r="A630" t="str">
        <v>PO-P-14</v>
      </c>
      <c r="B630" t="str">
        <v>pokemon</v>
      </c>
      <c r="C630" t="str">
        <v xml:space="preserve">Frillish </v>
      </c>
      <c r="D630" t="str">
        <v>WHT  44/86</v>
      </c>
      <c r="E630" t="str">
        <v>normal</v>
      </c>
      <c r="F630" t="str">
        <v>HCM</v>
      </c>
      <c r="G630">
        <v>3</v>
      </c>
      <c r="H630">
        <v>13</v>
      </c>
      <c r="K630">
        <f>J630+H630-I630</f>
        <v>13</v>
      </c>
      <c r="L630">
        <f>G630*K630</f>
        <v>39</v>
      </c>
    </row>
    <row r="631">
      <c r="A631" t="str">
        <v>PO-P-14</v>
      </c>
      <c r="B631" t="str">
        <v>pokemon</v>
      </c>
      <c r="C631" t="str">
        <v xml:space="preserve">Frillish </v>
      </c>
      <c r="D631" t="str">
        <v>WHT  44/86</v>
      </c>
      <c r="E631" t="str">
        <v>holo</v>
      </c>
      <c r="F631" t="str">
        <v>HCM</v>
      </c>
      <c r="G631">
        <v>4</v>
      </c>
      <c r="H631">
        <v>1</v>
      </c>
      <c r="K631">
        <f>J631+H631-I631</f>
        <v>1</v>
      </c>
      <c r="L631">
        <f>G631*K631</f>
        <v>4</v>
      </c>
    </row>
    <row r="632">
      <c r="A632" t="str">
        <v>PO-W-10</v>
      </c>
      <c r="B632" t="str">
        <v>pokemon</v>
      </c>
      <c r="C632" t="str">
        <v>EEVEE</v>
      </c>
      <c r="D632" t="str">
        <v>PRE 74/131</v>
      </c>
      <c r="E632" t="str">
        <v>normal</v>
      </c>
      <c r="F632" t="str">
        <v>HCM</v>
      </c>
      <c r="G632">
        <v>3</v>
      </c>
      <c r="H632">
        <v>6</v>
      </c>
      <c r="K632">
        <f>J632+H632-I632</f>
        <v>6</v>
      </c>
      <c r="L632">
        <f>G632*K632</f>
        <v>18</v>
      </c>
    </row>
    <row r="633">
      <c r="A633" t="str">
        <v>PO-W-10</v>
      </c>
      <c r="B633" t="str">
        <v>pokemon</v>
      </c>
      <c r="C633" t="str">
        <v>EEVEE</v>
      </c>
      <c r="D633" t="str">
        <v>PRE 74/131</v>
      </c>
      <c r="E633" t="str">
        <v>holo</v>
      </c>
      <c r="F633" t="str">
        <v>HCM</v>
      </c>
      <c r="G633">
        <v>5</v>
      </c>
      <c r="H633">
        <v>1</v>
      </c>
      <c r="K633">
        <f>J633+H633-I633</f>
        <v>1</v>
      </c>
      <c r="L633">
        <f>G633*K633</f>
        <v>5</v>
      </c>
    </row>
    <row r="634">
      <c r="A634" t="str">
        <v>PO-W-10</v>
      </c>
      <c r="B634" t="str">
        <v>pokemon</v>
      </c>
      <c r="C634" t="str">
        <v>EEVEE</v>
      </c>
      <c r="D634" t="str">
        <v>SSP 143/191</v>
      </c>
      <c r="E634" t="str">
        <v>normal</v>
      </c>
      <c r="F634" t="str">
        <v>HCM</v>
      </c>
      <c r="G634">
        <v>4</v>
      </c>
      <c r="H634">
        <v>2</v>
      </c>
      <c r="K634">
        <f>J634+H634-I634</f>
        <v>2</v>
      </c>
      <c r="L634">
        <f>G634*K634</f>
        <v>8</v>
      </c>
    </row>
    <row r="635">
      <c r="A635" t="str">
        <v>PO-W-10</v>
      </c>
      <c r="B635" t="str">
        <v>pokemon</v>
      </c>
      <c r="C635" t="str">
        <v>EEVEE</v>
      </c>
      <c r="D635" t="str">
        <v>MEW 133/165</v>
      </c>
      <c r="E635" t="str">
        <v>normal</v>
      </c>
      <c r="F635" t="str">
        <v>HCM</v>
      </c>
      <c r="G635">
        <v>4</v>
      </c>
      <c r="H635">
        <v>1</v>
      </c>
      <c r="K635">
        <f>J635+H635-I635</f>
        <v>1</v>
      </c>
      <c r="L635">
        <f>G635*K635</f>
        <v>4</v>
      </c>
    </row>
    <row r="636">
      <c r="A636" t="str">
        <v>PO-LB-01</v>
      </c>
      <c r="B636" t="str">
        <v>pokemon</v>
      </c>
      <c r="C636" t="str">
        <v>TEAM ROCKET'S ARTICUNO</v>
      </c>
      <c r="D636" t="str">
        <v>DRI 51/182</v>
      </c>
      <c r="E636" t="str">
        <v>holo</v>
      </c>
      <c r="F636" t="str">
        <v>HCM</v>
      </c>
      <c r="G636">
        <v>5</v>
      </c>
      <c r="H636">
        <v>10</v>
      </c>
      <c r="K636">
        <f>J636+H636-I636</f>
        <v>10</v>
      </c>
      <c r="L636">
        <f>G636*K636</f>
        <v>50</v>
      </c>
    </row>
    <row r="637">
      <c r="A637" t="str">
        <v>PO-W-26</v>
      </c>
      <c r="B637" t="str">
        <v>pokemon</v>
      </c>
      <c r="C637" t="str">
        <v>TEAM ROCKET'S PORYGON-Z</v>
      </c>
      <c r="D637" t="str">
        <v>DRI 155/182</v>
      </c>
      <c r="E637" t="str">
        <v>normal</v>
      </c>
      <c r="F637" t="str">
        <v>HCM</v>
      </c>
      <c r="G637">
        <v>4</v>
      </c>
      <c r="H637">
        <v>8</v>
      </c>
      <c r="K637">
        <f>J637+H637-I637</f>
        <v>8</v>
      </c>
      <c r="L637">
        <f>G637*K637</f>
        <v>32</v>
      </c>
    </row>
    <row r="638">
      <c r="A638" t="str">
        <v>PO-W-26</v>
      </c>
      <c r="B638" t="str">
        <v>pokemon</v>
      </c>
      <c r="C638" t="str">
        <v>TEAM ROCKET'S PORYGON-Z</v>
      </c>
      <c r="D638" t="str">
        <v>DRI 155/182</v>
      </c>
      <c r="E638" t="str">
        <v>holo</v>
      </c>
      <c r="F638" t="str">
        <v>HCM</v>
      </c>
      <c r="G638">
        <v>5</v>
      </c>
      <c r="H638">
        <v>2</v>
      </c>
      <c r="K638">
        <f>J638+H638-I638</f>
        <v>2</v>
      </c>
      <c r="L638">
        <f>G638*K638</f>
        <v>10</v>
      </c>
    </row>
    <row r="639">
      <c r="A639" t="str">
        <v>PO-W-25</v>
      </c>
      <c r="B639" t="str">
        <v>pokemon</v>
      </c>
      <c r="C639" t="str">
        <v>TEAM ROCKET'S PORYGON-2</v>
      </c>
      <c r="D639" t="str">
        <v>DRI 154/182</v>
      </c>
      <c r="E639" t="str">
        <v>holo</v>
      </c>
      <c r="F639" t="str">
        <v>HCM</v>
      </c>
      <c r="G639">
        <v>5</v>
      </c>
      <c r="H639">
        <v>4</v>
      </c>
      <c r="K639">
        <f>J639+H639-I639</f>
        <v>4</v>
      </c>
      <c r="L639">
        <f>G639*K639</f>
        <v>20</v>
      </c>
    </row>
    <row r="640">
      <c r="A640" t="str">
        <v>PO-W-25</v>
      </c>
      <c r="B640" t="str">
        <v>pokemon</v>
      </c>
      <c r="C640" t="str">
        <v>TEAM ROCKET'S PORYGON-2</v>
      </c>
      <c r="D640" t="str">
        <v>DRI 154/182</v>
      </c>
      <c r="E640" t="str">
        <v>normal</v>
      </c>
      <c r="F640" t="str">
        <v>HCM</v>
      </c>
      <c r="G640">
        <v>4</v>
      </c>
      <c r="H640">
        <v>8</v>
      </c>
      <c r="K640">
        <f>J640+H640-I640</f>
        <v>8</v>
      </c>
      <c r="L640">
        <f>G640*K640</f>
        <v>32</v>
      </c>
    </row>
    <row r="641">
      <c r="A641" t="str">
        <v>PO-W-24</v>
      </c>
      <c r="B641" t="str">
        <v>pokemon</v>
      </c>
      <c r="C641" t="str">
        <v>TEAM ROCKET'S PORYGON</v>
      </c>
      <c r="D641" t="str">
        <v>DRI 153/182</v>
      </c>
      <c r="E641" t="str">
        <v>normal</v>
      </c>
      <c r="F641" t="str">
        <v>HCM</v>
      </c>
      <c r="G641">
        <v>4</v>
      </c>
      <c r="H641">
        <v>12</v>
      </c>
      <c r="K641">
        <f>J641+H641-I641</f>
        <v>12</v>
      </c>
      <c r="L641">
        <f>G641*K641</f>
        <v>48</v>
      </c>
    </row>
    <row r="642">
      <c r="A642" t="str">
        <v>PO-W-24</v>
      </c>
      <c r="B642" t="str">
        <v>pokemon</v>
      </c>
      <c r="C642" t="str">
        <v>TEAM ROCKET'S PORYGON</v>
      </c>
      <c r="D642" t="str">
        <v>DRI 153/182</v>
      </c>
      <c r="E642" t="str">
        <v>holo</v>
      </c>
      <c r="F642" t="str">
        <v>HCM</v>
      </c>
      <c r="G642">
        <v>5</v>
      </c>
      <c r="H642">
        <v>4</v>
      </c>
      <c r="K642">
        <f>J642+H642-I642</f>
        <v>4</v>
      </c>
      <c r="L642">
        <f>G642*K642</f>
        <v>20</v>
      </c>
    </row>
    <row r="643">
      <c r="A643" t="str">
        <v>PO-DB-01</v>
      </c>
      <c r="B643" t="str">
        <v>pokemon</v>
      </c>
      <c r="C643" t="str">
        <v>CARVANHA</v>
      </c>
      <c r="D643" t="str">
        <v>PFL 60/94</v>
      </c>
      <c r="E643" t="str">
        <v>normal</v>
      </c>
      <c r="F643" t="str">
        <v>HCM</v>
      </c>
      <c r="G643">
        <v>3</v>
      </c>
      <c r="H643">
        <v>7</v>
      </c>
      <c r="K643">
        <f>J643+H643-I643</f>
        <v>7</v>
      </c>
      <c r="L643">
        <f>G643*K643</f>
        <v>21</v>
      </c>
    </row>
    <row r="644">
      <c r="A644" t="str">
        <v>PO-DB-01</v>
      </c>
      <c r="B644" t="str">
        <v>pokemon</v>
      </c>
      <c r="C644" t="str">
        <v>CARVANHA</v>
      </c>
      <c r="D644" t="str">
        <v>PFL 60/94</v>
      </c>
      <c r="E644" t="str">
        <v>holo</v>
      </c>
      <c r="F644" t="str">
        <v>HCM</v>
      </c>
      <c r="G644">
        <v>4</v>
      </c>
      <c r="H644">
        <v>7</v>
      </c>
      <c r="K644">
        <f>J644+H644-I644</f>
        <v>7</v>
      </c>
      <c r="L644">
        <f>G644*K644</f>
        <v>28</v>
      </c>
    </row>
    <row r="645">
      <c r="B645" t="str">
        <v>pokemon</v>
      </c>
      <c r="C645" t="str">
        <v>MEGA SKARMORY EX</v>
      </c>
      <c r="D645" t="str">
        <v>POR 55/88</v>
      </c>
      <c r="E645" t="str">
        <v>normal</v>
      </c>
      <c r="F645" t="str">
        <v>SYDNEY</v>
      </c>
      <c r="G645">
        <v>50</v>
      </c>
      <c r="H645">
        <v>1</v>
      </c>
      <c r="K645">
        <f>J645+H645-I645</f>
        <v>1</v>
      </c>
      <c r="L645">
        <f>G645*K645</f>
        <v>50</v>
      </c>
    </row>
    <row r="646">
      <c r="B646" t="str">
        <v>pokemon</v>
      </c>
      <c r="C646" t="str">
        <v>MEGA  ZYGARDE EX</v>
      </c>
      <c r="D646" t="str">
        <v>POR 47/88</v>
      </c>
      <c r="E646" t="str">
        <v>normal</v>
      </c>
      <c r="F646" t="str">
        <v>SYDNEY</v>
      </c>
      <c r="G646">
        <v>50</v>
      </c>
      <c r="H646">
        <v>1</v>
      </c>
      <c r="K646">
        <f>J646+H646-I646</f>
        <v>1</v>
      </c>
      <c r="L646">
        <f>G646*K646</f>
        <v>50</v>
      </c>
    </row>
    <row r="647">
      <c r="A647" t="str">
        <v>PO-Y-00</v>
      </c>
      <c r="B647" t="str">
        <v>pokemon</v>
      </c>
      <c r="C647" t="str">
        <v xml:space="preserve">BARBARACLE </v>
      </c>
      <c r="D647" t="str">
        <v>POR 43/88</v>
      </c>
      <c r="E647" t="str">
        <v>normal</v>
      </c>
      <c r="F647" t="str">
        <v>HCM</v>
      </c>
      <c r="G647">
        <v>4</v>
      </c>
      <c r="H647">
        <v>50</v>
      </c>
      <c r="K647">
        <f>J647+H647-I647</f>
        <v>50</v>
      </c>
      <c r="L647">
        <f>G647*K647</f>
        <v>200</v>
      </c>
    </row>
    <row r="648">
      <c r="A648" t="str">
        <v>PO-Y-00</v>
      </c>
      <c r="B648" t="str">
        <v>pokemon</v>
      </c>
      <c r="C648" t="str">
        <v xml:space="preserve">BARBARACLE </v>
      </c>
      <c r="D648" t="str">
        <v>POR 43/89</v>
      </c>
      <c r="E648" t="str">
        <v>holo</v>
      </c>
      <c r="F648" t="str">
        <v>HCM</v>
      </c>
      <c r="G648">
        <v>5</v>
      </c>
      <c r="H648">
        <v>5</v>
      </c>
      <c r="K648">
        <f>J648+H648-I648</f>
        <v>5</v>
      </c>
    </row>
    <row r="649">
      <c r="A649" t="str">
        <v>PO-Y-01</v>
      </c>
      <c r="B649" t="str">
        <v>pokemon</v>
      </c>
      <c r="C649" t="str">
        <v xml:space="preserve">BINACLE </v>
      </c>
      <c r="D649" t="str">
        <v>POR 42/88</v>
      </c>
      <c r="E649" t="str">
        <v>normal</v>
      </c>
      <c r="F649" t="str">
        <v>HCM</v>
      </c>
      <c r="G649">
        <v>3</v>
      </c>
      <c r="H649">
        <v>25</v>
      </c>
      <c r="K649">
        <f>J649+H649-I649</f>
        <v>25</v>
      </c>
      <c r="L649">
        <f>G649*K649</f>
        <v>75</v>
      </c>
    </row>
    <row r="650">
      <c r="A650" t="str">
        <v>PO-Y-01</v>
      </c>
      <c r="B650" t="str">
        <v>pokemon</v>
      </c>
      <c r="C650" t="str">
        <v xml:space="preserve">BINACLE </v>
      </c>
      <c r="D650" t="str">
        <v>POR 42/89</v>
      </c>
      <c r="E650" t="str">
        <v>holo</v>
      </c>
      <c r="F650" t="str">
        <v>HCM</v>
      </c>
      <c r="G650">
        <v>4</v>
      </c>
      <c r="H650">
        <v>2</v>
      </c>
      <c r="K650">
        <f>J650+H650-I650</f>
        <v>2</v>
      </c>
    </row>
    <row r="651">
      <c r="A651" t="str">
        <v>PO-Y-34</v>
      </c>
      <c r="B651" t="str">
        <v>pokemon</v>
      </c>
      <c r="C651" t="str">
        <v>TYRANTRUM</v>
      </c>
      <c r="D651" t="str">
        <v>POR 45/88</v>
      </c>
      <c r="E651" t="str">
        <v>normal</v>
      </c>
      <c r="F651" t="str">
        <v>HCM</v>
      </c>
      <c r="G651">
        <v>4</v>
      </c>
      <c r="H651">
        <v>2</v>
      </c>
      <c r="J651">
        <v>15</v>
      </c>
      <c r="K651">
        <f>J651+H651-I651</f>
        <v>17</v>
      </c>
      <c r="L651">
        <f>G651*K651</f>
        <v>68</v>
      </c>
    </row>
    <row r="652">
      <c r="A652" t="str">
        <v>PO-Y-34</v>
      </c>
      <c r="B652" t="str">
        <v>pokemon</v>
      </c>
      <c r="C652" t="str">
        <v>TYRANTRUM</v>
      </c>
      <c r="D652" t="str">
        <v>POR 45/88</v>
      </c>
      <c r="E652" t="str">
        <v>holo</v>
      </c>
      <c r="F652" t="str">
        <v>HCM</v>
      </c>
      <c r="G652">
        <v>5</v>
      </c>
      <c r="H652">
        <v>24</v>
      </c>
      <c r="K652">
        <f>J652+H652-I652</f>
        <v>24</v>
      </c>
    </row>
    <row r="653">
      <c r="A653" t="str">
        <v>PO-Y-35</v>
      </c>
      <c r="B653" t="str">
        <v>pokemon</v>
      </c>
      <c r="C653" t="str">
        <v>TYRUNT</v>
      </c>
      <c r="D653" t="str">
        <v>POR 44/88</v>
      </c>
      <c r="E653" t="str">
        <v>normal</v>
      </c>
      <c r="F653" t="str">
        <v>HCM</v>
      </c>
      <c r="G653">
        <v>3</v>
      </c>
      <c r="H653">
        <v>36</v>
      </c>
      <c r="K653">
        <f>J653+H653-I653</f>
        <v>36</v>
      </c>
      <c r="L653">
        <f>G653*K653</f>
        <v>108</v>
      </c>
    </row>
    <row r="654">
      <c r="A654" t="str">
        <v>PO-Y-35</v>
      </c>
      <c r="B654" t="str">
        <v>pokemon</v>
      </c>
      <c r="C654" t="str">
        <v>TYRUNT</v>
      </c>
      <c r="D654" t="str">
        <v>POR 44/88</v>
      </c>
      <c r="E654" t="str">
        <v>holo</v>
      </c>
      <c r="F654" t="str">
        <v>HCM</v>
      </c>
      <c r="G654">
        <v>4</v>
      </c>
      <c r="H654">
        <v>4</v>
      </c>
      <c r="K654">
        <f>J654+H654-I654</f>
        <v>4</v>
      </c>
    </row>
    <row r="655">
      <c r="A655" t="str">
        <v>IT-19</v>
      </c>
      <c r="B655" t="str">
        <v>pokemon</v>
      </c>
      <c r="C655" t="str">
        <v xml:space="preserve">ANTIQUE JAW FOSSIL  </v>
      </c>
      <c r="D655" t="str">
        <v>POR 68/88</v>
      </c>
      <c r="E655" t="str">
        <v>normal</v>
      </c>
      <c r="F655" t="str">
        <v>HCM</v>
      </c>
      <c r="G655">
        <v>3</v>
      </c>
      <c r="H655">
        <v>5</v>
      </c>
      <c r="K655">
        <f>J655+H655-I655</f>
        <v>5</v>
      </c>
      <c r="L655">
        <f>G655*K655</f>
        <v>15</v>
      </c>
    </row>
    <row r="656">
      <c r="A656" t="str">
        <v>IT-19</v>
      </c>
      <c r="B656" t="str">
        <v>pokemon</v>
      </c>
      <c r="C656" t="str">
        <v xml:space="preserve">ANTIQUE JAW FOSSIL  </v>
      </c>
      <c r="D656" t="str">
        <v>POR 68/88</v>
      </c>
      <c r="E656" t="str">
        <v>holo</v>
      </c>
      <c r="F656" t="str">
        <v>HCM</v>
      </c>
      <c r="G656">
        <v>4</v>
      </c>
      <c r="H656">
        <v>1</v>
      </c>
      <c r="K656">
        <f>J656+H656-I656</f>
        <v>1</v>
      </c>
      <c r="L656">
        <f>G656*K656</f>
        <v>4</v>
      </c>
    </row>
    <row r="657">
      <c r="A657" t="str">
        <v>PO-LB-14</v>
      </c>
      <c r="B657" t="str">
        <v>pokemon</v>
      </c>
      <c r="C657" t="str">
        <v xml:space="preserve">STARYU </v>
      </c>
      <c r="D657" t="str">
        <v>POR 20/88</v>
      </c>
      <c r="E657" t="str">
        <v>normal</v>
      </c>
      <c r="F657" t="str">
        <v>HCM</v>
      </c>
      <c r="G657">
        <v>4</v>
      </c>
      <c r="H657">
        <v>13</v>
      </c>
      <c r="J657">
        <v>16</v>
      </c>
      <c r="K657">
        <f>J657+H657-I657</f>
        <v>29</v>
      </c>
      <c r="L657">
        <f>G657*K657</f>
        <v>116</v>
      </c>
    </row>
    <row r="658">
      <c r="A658" t="str">
        <v>PO-LB-14</v>
      </c>
      <c r="B658" t="str">
        <v>pokemon</v>
      </c>
      <c r="C658" t="str">
        <v xml:space="preserve">STARYU </v>
      </c>
      <c r="D658" t="str">
        <v>POR 20/88</v>
      </c>
      <c r="E658" t="str">
        <v>holo</v>
      </c>
      <c r="F658" t="str">
        <v>HCM</v>
      </c>
      <c r="G658">
        <v>5</v>
      </c>
      <c r="H658">
        <v>4</v>
      </c>
      <c r="K658">
        <f>J658+H658-I658</f>
        <v>4</v>
      </c>
    </row>
    <row r="659">
      <c r="A659" t="str">
        <v>PO-W-00</v>
      </c>
      <c r="B659" t="str">
        <v>pokemon</v>
      </c>
      <c r="C659" t="str">
        <v>AEGISLASH</v>
      </c>
      <c r="D659" t="str">
        <v>POR 58/88</v>
      </c>
      <c r="E659" t="str">
        <v>holo</v>
      </c>
      <c r="F659" t="str">
        <v>HCM</v>
      </c>
      <c r="G659">
        <v>5</v>
      </c>
      <c r="H659">
        <v>4</v>
      </c>
      <c r="K659">
        <f>J659+H659-I659</f>
        <v>4</v>
      </c>
      <c r="L659">
        <f>G659*K659</f>
        <v>20</v>
      </c>
    </row>
    <row r="660">
      <c r="A660" t="str">
        <v>PO-W-00</v>
      </c>
      <c r="B660" t="str">
        <v>pokemon</v>
      </c>
      <c r="C660" t="str">
        <v>AEGISLASH</v>
      </c>
      <c r="D660" t="str">
        <v>POR 58/88</v>
      </c>
      <c r="E660" t="str">
        <v>normal</v>
      </c>
      <c r="F660" t="str">
        <v>HCM</v>
      </c>
      <c r="G660">
        <v>4</v>
      </c>
      <c r="H660">
        <v>34</v>
      </c>
      <c r="K660">
        <f>J660+H660-I660</f>
        <v>34</v>
      </c>
      <c r="L660">
        <f>G660*K660</f>
        <v>136</v>
      </c>
    </row>
    <row r="661">
      <c r="A661" t="str">
        <v>PO-W-05</v>
      </c>
      <c r="B661" t="str">
        <v>pokemon</v>
      </c>
      <c r="C661" t="str">
        <v>DOUBLADE</v>
      </c>
      <c r="D661" t="str">
        <v>POR 57/88</v>
      </c>
      <c r="E661" t="str">
        <v>holo</v>
      </c>
      <c r="F661" t="str">
        <v>HCM</v>
      </c>
      <c r="G661">
        <v>5</v>
      </c>
      <c r="H661">
        <v>3</v>
      </c>
      <c r="K661">
        <f>J661+H661-I661</f>
        <v>3</v>
      </c>
      <c r="L661">
        <f>G661*K661</f>
        <v>15</v>
      </c>
    </row>
    <row r="662">
      <c r="A662" t="str">
        <v>PO-W-05</v>
      </c>
      <c r="B662" t="str">
        <v>pokemon</v>
      </c>
      <c r="C662" t="str">
        <v>DOUBLADE</v>
      </c>
      <c r="D662" t="str">
        <v>POR 57/88</v>
      </c>
      <c r="E662" t="str">
        <v>normal</v>
      </c>
      <c r="F662" t="str">
        <v>HCM</v>
      </c>
      <c r="G662">
        <v>4</v>
      </c>
      <c r="H662">
        <v>26</v>
      </c>
      <c r="K662">
        <f>J662+H662-I662</f>
        <v>26</v>
      </c>
      <c r="L662">
        <f>G662*K662</f>
        <v>104</v>
      </c>
    </row>
    <row r="663">
      <c r="A663" t="str">
        <v>PO-W-16</v>
      </c>
      <c r="B663" t="str">
        <v>pokemon</v>
      </c>
      <c r="C663" t="str">
        <v>HONEDGE</v>
      </c>
      <c r="D663" t="str">
        <v>POR 56/88</v>
      </c>
      <c r="E663" t="str">
        <v>holo</v>
      </c>
      <c r="F663" t="str">
        <v>HCM</v>
      </c>
      <c r="G663">
        <v>5</v>
      </c>
      <c r="H663">
        <v>3</v>
      </c>
      <c r="K663">
        <f>J663+H663-I663</f>
        <v>3</v>
      </c>
      <c r="L663">
        <f>G663*K663</f>
        <v>15</v>
      </c>
    </row>
    <row r="664">
      <c r="A664" t="str">
        <v>PO-W-16</v>
      </c>
      <c r="B664" t="str">
        <v>pokemon</v>
      </c>
      <c r="C664" t="str">
        <v>HONEDGE</v>
      </c>
      <c r="D664" t="str">
        <v>POR 56/88</v>
      </c>
      <c r="E664" t="str">
        <v>normal</v>
      </c>
      <c r="F664" t="str">
        <v>HCM</v>
      </c>
      <c r="G664">
        <v>4</v>
      </c>
      <c r="H664">
        <v>29</v>
      </c>
      <c r="K664">
        <f>J664+H664-I664</f>
        <v>29</v>
      </c>
      <c r="L664">
        <f>G664*K664</f>
        <v>116</v>
      </c>
    </row>
    <row r="665">
      <c r="A665" t="str">
        <v>PO-R-18</v>
      </c>
      <c r="B665" t="str">
        <v>pokemon</v>
      </c>
      <c r="C665" t="str">
        <v>TALONFLAME</v>
      </c>
      <c r="D665" t="str">
        <v>POR 14/88</v>
      </c>
      <c r="E665" t="str">
        <v>normal</v>
      </c>
      <c r="F665" t="str">
        <v>HCM</v>
      </c>
      <c r="G665">
        <v>3</v>
      </c>
      <c r="H665">
        <v>35</v>
      </c>
      <c r="K665">
        <f>J665+H665-I665</f>
        <v>35</v>
      </c>
      <c r="L665">
        <f>G665*K665</f>
        <v>105</v>
      </c>
    </row>
    <row r="666">
      <c r="A666" t="str">
        <v>PO-R-18</v>
      </c>
      <c r="B666" t="str">
        <v>pokemon</v>
      </c>
      <c r="C666" t="str">
        <v>TALONFLAME</v>
      </c>
      <c r="D666" t="str">
        <v>POR 14/88</v>
      </c>
      <c r="E666" t="str">
        <v>holo</v>
      </c>
      <c r="F666" t="str">
        <v>HCM</v>
      </c>
      <c r="G666">
        <v>4</v>
      </c>
      <c r="H666">
        <v>8</v>
      </c>
      <c r="K666">
        <f>J666+H666-I666</f>
        <v>8</v>
      </c>
      <c r="L666">
        <f>G666*K666</f>
        <v>32</v>
      </c>
    </row>
    <row r="667">
      <c r="A667" t="str">
        <v>PO-R-14</v>
      </c>
      <c r="B667" t="str">
        <v>pokemon</v>
      </c>
      <c r="C667" t="str">
        <v>FLETCHINDER</v>
      </c>
      <c r="D667" t="str">
        <v>POR 13/88</v>
      </c>
      <c r="E667" t="str">
        <v>normal</v>
      </c>
      <c r="F667" t="str">
        <v>HCM</v>
      </c>
      <c r="G667">
        <v>3</v>
      </c>
      <c r="H667">
        <v>12</v>
      </c>
      <c r="K667">
        <f>J667+H667-I667</f>
        <v>12</v>
      </c>
      <c r="L667">
        <f>G667*K667</f>
        <v>36</v>
      </c>
    </row>
    <row r="668">
      <c r="A668" t="str">
        <v>PO-R-14</v>
      </c>
      <c r="B668" t="str">
        <v>pokemon</v>
      </c>
      <c r="C668" t="str">
        <v>FLETCHINDER</v>
      </c>
      <c r="D668" t="str">
        <v>POR 13/88</v>
      </c>
      <c r="E668" t="str">
        <v>holo</v>
      </c>
      <c r="F668" t="str">
        <v>HCM</v>
      </c>
      <c r="G668">
        <v>4</v>
      </c>
      <c r="H668">
        <v>3</v>
      </c>
      <c r="K668">
        <f>J668+H668-I668</f>
        <v>3</v>
      </c>
      <c r="L668">
        <f>G668*K668</f>
        <v>12</v>
      </c>
    </row>
    <row r="669">
      <c r="B669" t="str">
        <v>pokemon</v>
      </c>
      <c r="C669" t="str">
        <v>DECIDUEYE EX</v>
      </c>
      <c r="D669" t="str">
        <v>POR 12/88</v>
      </c>
      <c r="E669" t="str">
        <v>normal</v>
      </c>
      <c r="F669" t="str">
        <v>SYDNEY</v>
      </c>
      <c r="G669">
        <v>35</v>
      </c>
      <c r="H669">
        <v>1</v>
      </c>
      <c r="K669">
        <f>J669+H669-I669</f>
        <v>1</v>
      </c>
      <c r="L669">
        <f>G669*K669</f>
        <v>35</v>
      </c>
    </row>
    <row r="670">
      <c r="A670" t="str">
        <v>PO-G-09A</v>
      </c>
      <c r="B670" t="str">
        <v>pokemon</v>
      </c>
      <c r="C670" t="str">
        <v>DARTRIX</v>
      </c>
      <c r="D670" t="str">
        <v>POR 11/88</v>
      </c>
      <c r="E670" t="str">
        <v>holo</v>
      </c>
      <c r="F670" t="str">
        <v>HCM</v>
      </c>
      <c r="G670">
        <v>4</v>
      </c>
      <c r="H670">
        <v>1</v>
      </c>
      <c r="K670">
        <f>J670+H670-I670</f>
        <v>1</v>
      </c>
      <c r="L670">
        <f>G670*K670</f>
        <v>4</v>
      </c>
    </row>
    <row r="671">
      <c r="A671" t="str">
        <v>PO-G-09A</v>
      </c>
      <c r="B671" t="str">
        <v>pokemon</v>
      </c>
      <c r="C671" t="str">
        <v>DARTRIX</v>
      </c>
      <c r="D671" t="str">
        <v>POR 11/88</v>
      </c>
      <c r="E671" t="str">
        <v>normal</v>
      </c>
      <c r="F671" t="str">
        <v>HCM</v>
      </c>
      <c r="G671">
        <v>3</v>
      </c>
      <c r="H671">
        <v>21</v>
      </c>
      <c r="K671">
        <f>J671+H671-I671</f>
        <v>21</v>
      </c>
      <c r="L671">
        <f>G671*K671</f>
        <v>63</v>
      </c>
    </row>
    <row r="672">
      <c r="A672" t="str">
        <v>PO-G-29</v>
      </c>
      <c r="B672" t="str">
        <v>pokemon</v>
      </c>
      <c r="C672" t="str">
        <v>ROWLET</v>
      </c>
      <c r="D672" t="str">
        <v>POR 10/88</v>
      </c>
      <c r="E672" t="str">
        <v>normal</v>
      </c>
      <c r="F672" t="str">
        <v>HCM</v>
      </c>
      <c r="G672">
        <v>3</v>
      </c>
      <c r="H672">
        <v>25</v>
      </c>
      <c r="K672">
        <f>J672+H672-I672</f>
        <v>25</v>
      </c>
      <c r="L672">
        <f>G672*K672</f>
        <v>75</v>
      </c>
    </row>
    <row r="673">
      <c r="A673" t="str">
        <v>PO-G-30</v>
      </c>
      <c r="B673" t="str">
        <v>pokemon</v>
      </c>
      <c r="C673" t="str">
        <v xml:space="preserve">VIVILLON </v>
      </c>
      <c r="D673" t="str">
        <v>POR 9/88</v>
      </c>
      <c r="E673" t="str">
        <v>holo</v>
      </c>
      <c r="F673" t="str">
        <v>HCM</v>
      </c>
      <c r="G673">
        <v>3</v>
      </c>
      <c r="H673">
        <v>5</v>
      </c>
      <c r="K673">
        <f>J673+H673-I673</f>
        <v>5</v>
      </c>
      <c r="L673">
        <f>G673*K673</f>
        <v>15</v>
      </c>
    </row>
    <row r="674">
      <c r="A674" t="str">
        <v>PO-G-30</v>
      </c>
      <c r="B674" t="str">
        <v>pokemon</v>
      </c>
      <c r="C674" t="str">
        <v xml:space="preserve">VIVILLON </v>
      </c>
      <c r="D674" t="str">
        <v>POR 9/88</v>
      </c>
      <c r="E674" t="str">
        <v>normal</v>
      </c>
      <c r="F674" t="str">
        <v>HCM</v>
      </c>
      <c r="G674">
        <v>3</v>
      </c>
      <c r="H674">
        <v>44</v>
      </c>
      <c r="K674">
        <f>J674+H674-I674</f>
        <v>44</v>
      </c>
      <c r="L674">
        <f>G674*K674</f>
        <v>132</v>
      </c>
    </row>
    <row r="675">
      <c r="A675" t="str">
        <v>PO-G-36</v>
      </c>
      <c r="B675" t="str">
        <v>pokemon</v>
      </c>
      <c r="C675" t="str">
        <v xml:space="preserve">SPEWPA </v>
      </c>
      <c r="D675" t="str">
        <v>POR 8/88</v>
      </c>
      <c r="E675" t="str">
        <v>holo</v>
      </c>
      <c r="F675" t="str">
        <v>HCM</v>
      </c>
      <c r="G675">
        <v>3</v>
      </c>
      <c r="H675">
        <v>3</v>
      </c>
      <c r="K675">
        <f>J675+H675-I675</f>
        <v>3</v>
      </c>
      <c r="L675">
        <f>G675*K675</f>
        <v>9</v>
      </c>
    </row>
    <row r="676">
      <c r="A676" t="str">
        <v>PO-G-36</v>
      </c>
      <c r="B676" t="str">
        <v>pokemon</v>
      </c>
      <c r="C676" t="str">
        <v xml:space="preserve">SPEWPA </v>
      </c>
      <c r="D676" t="str">
        <v>POR 8/88</v>
      </c>
      <c r="E676" t="str">
        <v>normal</v>
      </c>
      <c r="F676" t="str">
        <v>HCM</v>
      </c>
      <c r="G676">
        <v>3</v>
      </c>
      <c r="H676">
        <v>30</v>
      </c>
      <c r="K676">
        <f>J676+H676-I676</f>
        <v>30</v>
      </c>
      <c r="L676">
        <f>G676*K676</f>
        <v>90</v>
      </c>
    </row>
    <row r="677">
      <c r="A677" t="str">
        <v>PO-G-32</v>
      </c>
      <c r="B677" t="str">
        <v>pokemon</v>
      </c>
      <c r="C677" t="str">
        <v>SCATTERBUG</v>
      </c>
      <c r="D677" t="str">
        <v>POR 7/88</v>
      </c>
      <c r="E677" t="str">
        <v>normal</v>
      </c>
      <c r="F677" t="str">
        <v>HCM</v>
      </c>
      <c r="G677">
        <v>3</v>
      </c>
      <c r="H677">
        <v>21</v>
      </c>
      <c r="K677">
        <f>J677+H677-I677</f>
        <v>21</v>
      </c>
      <c r="L677">
        <f>G677*K677</f>
        <v>63</v>
      </c>
    </row>
    <row r="678">
      <c r="A678" t="str">
        <v>PO-G-32</v>
      </c>
      <c r="B678" t="str">
        <v>pokemon</v>
      </c>
      <c r="C678" t="str">
        <v>SCATTERBUG</v>
      </c>
      <c r="D678" t="str">
        <v>POR 7/88</v>
      </c>
      <c r="E678" t="str">
        <v>holo</v>
      </c>
      <c r="F678" t="str">
        <v>HCM</v>
      </c>
      <c r="G678">
        <v>3</v>
      </c>
      <c r="H678">
        <v>3</v>
      </c>
      <c r="K678">
        <f>J678+H678-I678</f>
        <v>3</v>
      </c>
      <c r="L678">
        <f>G678*K678</f>
        <v>9</v>
      </c>
    </row>
    <row r="679">
      <c r="A679" t="str">
        <v>PO-P-02</v>
      </c>
      <c r="B679" t="str">
        <v>pokemon</v>
      </c>
      <c r="C679" t="str">
        <v>AROMATISSE</v>
      </c>
      <c r="D679" t="str">
        <v>POR 36/88</v>
      </c>
      <c r="E679" t="str">
        <v>normal</v>
      </c>
      <c r="F679" t="str">
        <v>HCM</v>
      </c>
      <c r="G679">
        <v>3</v>
      </c>
      <c r="H679">
        <v>20</v>
      </c>
      <c r="K679">
        <f>J679+H679-I679</f>
        <v>20</v>
      </c>
      <c r="L679">
        <f>G679*K679</f>
        <v>60</v>
      </c>
    </row>
    <row r="680">
      <c r="A680" t="str">
        <v>PO-P-02</v>
      </c>
      <c r="B680" t="str">
        <v>pokemon</v>
      </c>
      <c r="C680" t="str">
        <v>AROMATISSE</v>
      </c>
      <c r="D680" t="str">
        <v>POR 36/88</v>
      </c>
      <c r="E680" t="str">
        <v>holo</v>
      </c>
      <c r="F680" t="str">
        <v>HCM</v>
      </c>
      <c r="G680">
        <v>3</v>
      </c>
      <c r="H680">
        <v>4</v>
      </c>
      <c r="K680">
        <f>J680+H680-I680</f>
        <v>4</v>
      </c>
      <c r="L680">
        <f>G680*K680</f>
        <v>12</v>
      </c>
    </row>
    <row r="681">
      <c r="A681" t="str">
        <v>PO-P-22</v>
      </c>
      <c r="B681" t="str">
        <v>pokemon</v>
      </c>
      <c r="C681" t="str">
        <v>SPRITZEE</v>
      </c>
      <c r="D681" t="str">
        <v>POR 35/88</v>
      </c>
      <c r="E681" t="str">
        <v>normal</v>
      </c>
      <c r="F681" t="str">
        <v>HCM</v>
      </c>
      <c r="G681">
        <v>3</v>
      </c>
      <c r="H681">
        <v>14</v>
      </c>
      <c r="K681">
        <f>J681+H681-I681</f>
        <v>14</v>
      </c>
      <c r="L681">
        <f>G681*K681</f>
        <v>42</v>
      </c>
    </row>
    <row r="682">
      <c r="A682" t="str">
        <v>PO-P-22</v>
      </c>
      <c r="B682" t="str">
        <v>pokemon</v>
      </c>
      <c r="C682" t="str">
        <v>SPRITZEE</v>
      </c>
      <c r="D682" t="str">
        <v>POR 35/88</v>
      </c>
      <c r="E682" t="str">
        <v>holo</v>
      </c>
      <c r="F682" t="str">
        <v>HCM</v>
      </c>
      <c r="G682">
        <v>4</v>
      </c>
      <c r="H682">
        <v>2</v>
      </c>
      <c r="K682">
        <f>J682+H682-I682</f>
        <v>2</v>
      </c>
      <c r="L682">
        <f>G682*K682</f>
        <v>8</v>
      </c>
    </row>
    <row r="683">
      <c r="A683" t="str">
        <v>PO-W-19</v>
      </c>
      <c r="B683" t="str">
        <v>pokemon</v>
      </c>
      <c r="C683" t="str">
        <v xml:space="preserve">KLEFKI </v>
      </c>
      <c r="D683" t="str">
        <v>POR 59/88</v>
      </c>
      <c r="E683" t="str">
        <v>normal</v>
      </c>
      <c r="F683" t="str">
        <v>HCM</v>
      </c>
      <c r="G683">
        <v>2</v>
      </c>
      <c r="H683">
        <v>18</v>
      </c>
      <c r="K683">
        <f>J683+H683-I683</f>
        <v>18</v>
      </c>
      <c r="L683">
        <f>G683*K683</f>
        <v>36</v>
      </c>
    </row>
    <row r="684">
      <c r="A684" t="str">
        <v>PO-W-19</v>
      </c>
      <c r="B684" t="str">
        <v>pokemon</v>
      </c>
      <c r="C684" t="str">
        <v xml:space="preserve">KLEFKI </v>
      </c>
      <c r="D684" t="str">
        <v>POR 59/88</v>
      </c>
      <c r="E684" t="str">
        <v>holo</v>
      </c>
      <c r="F684" t="str">
        <v>HCM</v>
      </c>
      <c r="G684">
        <v>3</v>
      </c>
      <c r="H684">
        <v>4</v>
      </c>
      <c r="K684">
        <f>J684+H684-I684</f>
        <v>4</v>
      </c>
      <c r="L684">
        <f>G684*K684</f>
        <v>12</v>
      </c>
    </row>
    <row r="685">
      <c r="A685" t="str">
        <v>PO-P-03</v>
      </c>
      <c r="B685" t="str">
        <v>pokemon</v>
      </c>
      <c r="C685" t="str">
        <v>CLEFAIRY</v>
      </c>
      <c r="D685" t="str">
        <v>POR 30/88</v>
      </c>
      <c r="E685" t="str">
        <v>normal</v>
      </c>
      <c r="F685" t="str">
        <v>HCM</v>
      </c>
      <c r="G685">
        <v>2</v>
      </c>
      <c r="H685">
        <v>14</v>
      </c>
      <c r="K685">
        <f>J685+H685-I685</f>
        <v>14</v>
      </c>
      <c r="L685">
        <f>G685*K685</f>
        <v>28</v>
      </c>
    </row>
    <row r="686">
      <c r="A686" t="str">
        <v>PO-P-03</v>
      </c>
      <c r="B686" t="str">
        <v>pokemon</v>
      </c>
      <c r="C686" t="str">
        <v>CLEFAIRY</v>
      </c>
      <c r="D686" t="str">
        <v>POR 30/88</v>
      </c>
      <c r="E686" t="str">
        <v>holo</v>
      </c>
      <c r="F686" t="str">
        <v>HCM</v>
      </c>
      <c r="G686">
        <v>2</v>
      </c>
      <c r="H686">
        <v>4</v>
      </c>
      <c r="K686">
        <f>J686+H686-I686</f>
        <v>4</v>
      </c>
      <c r="L686">
        <f>G686*K686</f>
        <v>8</v>
      </c>
    </row>
    <row r="687">
      <c r="A687" t="str">
        <v>TO-36</v>
      </c>
      <c r="B687" t="str">
        <v>tool</v>
      </c>
      <c r="C687" t="str">
        <v>CORE MEMORY</v>
      </c>
      <c r="D687" t="str">
        <v>POR 70/88</v>
      </c>
      <c r="E687" t="str">
        <v>normal</v>
      </c>
      <c r="F687" t="str">
        <v>HCM</v>
      </c>
      <c r="G687">
        <v>4</v>
      </c>
      <c r="H687">
        <v>2</v>
      </c>
      <c r="K687">
        <f>J687+H687-I687</f>
        <v>2</v>
      </c>
      <c r="L687">
        <f>G687*K687</f>
        <v>8</v>
      </c>
    </row>
    <row r="688">
      <c r="A688" t="str">
        <v>SUP-33</v>
      </c>
      <c r="B688" t="str">
        <v>suppoter</v>
      </c>
      <c r="C688" t="str">
        <v>NEMONA</v>
      </c>
      <c r="D688" t="str">
        <v>SVI 180/198</v>
      </c>
      <c r="E688" t="str">
        <v>normal</v>
      </c>
      <c r="F688" t="str">
        <v>HCM</v>
      </c>
      <c r="G688">
        <v>2</v>
      </c>
      <c r="H688">
        <v>7</v>
      </c>
      <c r="K688">
        <f>J688+H688-I688</f>
        <v>7</v>
      </c>
      <c r="L688">
        <f>G688*K688</f>
        <v>14</v>
      </c>
    </row>
    <row r="689">
      <c r="A689" t="str">
        <v>SUP-33</v>
      </c>
      <c r="B689" t="str">
        <v>suppoter</v>
      </c>
      <c r="C689" t="str">
        <v>NEMONA</v>
      </c>
      <c r="D689" t="str">
        <v>SVI 180/198</v>
      </c>
      <c r="E689" t="str">
        <v>holo</v>
      </c>
      <c r="F689" t="str">
        <v>HCM</v>
      </c>
      <c r="G689">
        <v>3</v>
      </c>
      <c r="H689">
        <v>1</v>
      </c>
      <c r="K689">
        <f>J689+H689-I689</f>
        <v>1</v>
      </c>
      <c r="L689">
        <f>G689*K689</f>
        <v>3</v>
      </c>
    </row>
    <row r="690">
      <c r="A690" t="str">
        <v>SUP-33</v>
      </c>
      <c r="B690" t="str">
        <v>suppoter</v>
      </c>
      <c r="C690" t="str">
        <v>NEMONA</v>
      </c>
      <c r="D690" t="str">
        <v>PAF 082/091</v>
      </c>
      <c r="E690" t="str">
        <v>holo</v>
      </c>
      <c r="F690" t="str">
        <v>HCM</v>
      </c>
      <c r="G690">
        <v>3</v>
      </c>
      <c r="H690">
        <v>1</v>
      </c>
      <c r="K690">
        <f>J690+H690-I690</f>
        <v>1</v>
      </c>
      <c r="L690">
        <f>G690*K690</f>
        <v>3</v>
      </c>
    </row>
    <row r="691">
      <c r="A691" t="str">
        <v>SUP-33</v>
      </c>
      <c r="B691" t="str">
        <v>suppoter</v>
      </c>
      <c r="C691" t="str">
        <v>NEMONA</v>
      </c>
      <c r="D691" t="str">
        <v>PAF 082/091</v>
      </c>
      <c r="E691" t="str">
        <v>normal</v>
      </c>
      <c r="F691" t="str">
        <v>HCM</v>
      </c>
      <c r="G691">
        <v>2</v>
      </c>
      <c r="H691">
        <v>1</v>
      </c>
      <c r="K691">
        <f>J691+H691-I691</f>
        <v>1</v>
      </c>
      <c r="L691">
        <f>G691*K691</f>
        <v>2</v>
      </c>
    </row>
    <row r="692">
      <c r="A692" t="str">
        <v>SPE-05</v>
      </c>
      <c r="B692" t="str">
        <v>special energy</v>
      </c>
      <c r="C692" t="str">
        <v>LUMINOUS ENERGY</v>
      </c>
      <c r="D692" t="str">
        <v>PAL 191/193</v>
      </c>
      <c r="E692" t="str">
        <v>normal</v>
      </c>
      <c r="F692" t="str">
        <v>HCM</v>
      </c>
      <c r="G692">
        <v>10</v>
      </c>
      <c r="H692">
        <v>14</v>
      </c>
      <c r="K692">
        <f>J692+H692-I692</f>
        <v>14</v>
      </c>
      <c r="L692">
        <f>G692*K692</f>
        <v>140</v>
      </c>
    </row>
    <row r="693">
      <c r="A693" t="str">
        <v>STA-10</v>
      </c>
      <c r="B693" t="str">
        <v>stadium</v>
      </c>
      <c r="C693" t="str">
        <v>Jamming Tower</v>
      </c>
      <c r="D693" t="str">
        <v>TWM 153/167</v>
      </c>
      <c r="E693" t="str">
        <v>normal</v>
      </c>
      <c r="F693" t="str">
        <v>HCM</v>
      </c>
      <c r="G693">
        <v>3</v>
      </c>
      <c r="H693">
        <v>7</v>
      </c>
      <c r="K693">
        <f>J693+H693-I693</f>
        <v>7</v>
      </c>
      <c r="L693">
        <f>G693*K693</f>
        <v>21</v>
      </c>
    </row>
    <row r="694">
      <c r="A694" t="str">
        <v>PC-STA-02</v>
      </c>
      <c r="B694" t="str">
        <v>stadium</v>
      </c>
      <c r="C694" t="str">
        <v>Jamming Tower</v>
      </c>
      <c r="D694" t="str">
        <v>TWM 153/167</v>
      </c>
      <c r="E694" t="str">
        <v>prize card</v>
      </c>
      <c r="F694" t="str">
        <v>HCM</v>
      </c>
      <c r="G694">
        <v>8</v>
      </c>
      <c r="H694">
        <v>1</v>
      </c>
      <c r="K694">
        <f>J694+H694-I694</f>
        <v>1</v>
      </c>
      <c r="L694">
        <f>G694*K694</f>
        <v>8</v>
      </c>
    </row>
    <row r="695">
      <c r="A695" t="str">
        <v>PC-STA-05</v>
      </c>
      <c r="B695" t="str">
        <v>stadium</v>
      </c>
      <c r="C695" t="str">
        <v>ARTAZON</v>
      </c>
      <c r="D695" t="str">
        <v>PAL 171/193</v>
      </c>
      <c r="E695" t="str">
        <v>prize card</v>
      </c>
      <c r="F695" t="str">
        <v>HCM</v>
      </c>
      <c r="G695">
        <v>3</v>
      </c>
      <c r="H695">
        <v>1</v>
      </c>
      <c r="K695">
        <f>J695+H695-I695</f>
        <v>1</v>
      </c>
      <c r="L695">
        <f>G695*K695</f>
        <v>3</v>
      </c>
    </row>
    <row r="696">
      <c r="A696" t="str">
        <v>STA-02</v>
      </c>
      <c r="B696" t="str">
        <v>stadium</v>
      </c>
      <c r="C696" t="str">
        <v>ARTAZON</v>
      </c>
      <c r="D696" t="str">
        <v>PAL 171/193</v>
      </c>
      <c r="E696" t="str">
        <v>normal</v>
      </c>
      <c r="F696" t="str">
        <v>HCM</v>
      </c>
      <c r="G696">
        <v>3</v>
      </c>
      <c r="H696">
        <v>2</v>
      </c>
      <c r="K696">
        <f>J696+H696-I696</f>
        <v>2</v>
      </c>
      <c r="L696">
        <f>G696*K696</f>
        <v>6</v>
      </c>
    </row>
    <row r="697">
      <c r="A697" t="str">
        <v>EX-M-05</v>
      </c>
      <c r="B697" t="str">
        <v>pokemon</v>
      </c>
      <c r="C697" t="str">
        <v>MEGA LUCARIO</v>
      </c>
      <c r="D697" t="str">
        <v>MEG 077/132</v>
      </c>
      <c r="E697" t="str">
        <v>ex</v>
      </c>
      <c r="F697" t="str">
        <v>HCM</v>
      </c>
      <c r="G697">
        <v>40</v>
      </c>
      <c r="H697">
        <v>1</v>
      </c>
      <c r="K697">
        <f>J697+H697-I697</f>
        <v>1</v>
      </c>
      <c r="L697">
        <f>G697*K697</f>
        <v>40</v>
      </c>
    </row>
    <row r="698">
      <c r="A698" t="str">
        <v>EX-M-06</v>
      </c>
      <c r="B698" t="str">
        <v>pokemon</v>
      </c>
      <c r="C698" t="str">
        <v>MEGA MANECTRIC</v>
      </c>
      <c r="D698" t="str">
        <v>MEG 050/132</v>
      </c>
      <c r="E698" t="str">
        <v>ex</v>
      </c>
      <c r="F698" t="str">
        <v>HCM</v>
      </c>
      <c r="G698">
        <v>60</v>
      </c>
      <c r="H698">
        <v>3</v>
      </c>
      <c r="K698">
        <f>J698+H698-I698</f>
        <v>3</v>
      </c>
      <c r="L698">
        <f>G698*K698</f>
        <v>180</v>
      </c>
    </row>
    <row r="699">
      <c r="A699" t="str">
        <v>EX-M-02</v>
      </c>
      <c r="B699" t="str">
        <v>pokemon</v>
      </c>
      <c r="C699" t="str">
        <v>MEGA HERACROSS</v>
      </c>
      <c r="D699" t="str">
        <v>PFL 004/094</v>
      </c>
      <c r="E699" t="str">
        <v>ex</v>
      </c>
      <c r="F699" t="str">
        <v>HCM</v>
      </c>
      <c r="G699">
        <v>60</v>
      </c>
      <c r="H699">
        <v>1</v>
      </c>
      <c r="K699">
        <f>J699+H699-I699</f>
        <v>1</v>
      </c>
      <c r="L699">
        <f>G699*K699</f>
        <v>60</v>
      </c>
    </row>
    <row r="700">
      <c r="A700" t="str">
        <v>EX-M-03</v>
      </c>
      <c r="B700" t="str">
        <v>pokemon</v>
      </c>
      <c r="C700" t="str">
        <v>MEGA GARDEVOIR</v>
      </c>
      <c r="D700" t="str">
        <v>MEG 060/132</v>
      </c>
      <c r="E700" t="str">
        <v>ex</v>
      </c>
      <c r="F700" t="str">
        <v>HCM</v>
      </c>
      <c r="G700">
        <v>40</v>
      </c>
      <c r="H700">
        <v>1</v>
      </c>
      <c r="K700">
        <f>J700+H700-I700</f>
        <v>1</v>
      </c>
      <c r="L700">
        <f>G700*K700</f>
        <v>40</v>
      </c>
    </row>
    <row r="701">
      <c r="A701" t="str">
        <v>EX-M-04</v>
      </c>
      <c r="B701" t="str">
        <v>pokemon</v>
      </c>
      <c r="C701" t="str">
        <v>MEGA LATIAS</v>
      </c>
      <c r="D701" t="str">
        <v>MEG 100/132</v>
      </c>
      <c r="E701" t="str">
        <v>ex</v>
      </c>
      <c r="F701" t="str">
        <v>HCM</v>
      </c>
      <c r="G701">
        <v>40</v>
      </c>
      <c r="H701">
        <v>1</v>
      </c>
      <c r="K701">
        <f>J701+H701-I701</f>
        <v>1</v>
      </c>
      <c r="L701">
        <f>G701*K701</f>
        <v>40</v>
      </c>
    </row>
    <row r="702">
      <c r="A702" t="str">
        <v>EX-M-08</v>
      </c>
      <c r="B702" t="str">
        <v>pokemon</v>
      </c>
      <c r="C702" t="str">
        <v>MEGA SHARPEDO</v>
      </c>
      <c r="D702" t="str">
        <v>PFL 061/094</v>
      </c>
      <c r="E702" t="str">
        <v>ex</v>
      </c>
      <c r="F702" t="str">
        <v>HCM</v>
      </c>
      <c r="G702">
        <v>60</v>
      </c>
      <c r="H702">
        <v>1</v>
      </c>
      <c r="K702">
        <f>J702+H702-I702</f>
        <v>1</v>
      </c>
      <c r="L702">
        <f>G702*K702</f>
        <v>60</v>
      </c>
    </row>
    <row r="703">
      <c r="A703" t="str">
        <v>EX-M-07</v>
      </c>
      <c r="B703" t="str">
        <v>pokemon</v>
      </c>
      <c r="C703" t="str">
        <v>MEGA MAWILE</v>
      </c>
      <c r="D703" t="str">
        <v>MEG 094/132</v>
      </c>
      <c r="E703" t="str">
        <v>ex</v>
      </c>
      <c r="F703" t="str">
        <v>HCM</v>
      </c>
      <c r="G703">
        <v>60</v>
      </c>
      <c r="H703">
        <v>1</v>
      </c>
      <c r="K703">
        <f>J703+H703-I703</f>
        <v>1</v>
      </c>
      <c r="L703">
        <f>G703*K703</f>
        <v>60</v>
      </c>
    </row>
    <row r="704">
      <c r="A704" t="str">
        <v>EX-M-01</v>
      </c>
      <c r="B704" t="str">
        <v>pokemon</v>
      </c>
      <c r="C704" t="str">
        <v>MEGA CAMERUPT</v>
      </c>
      <c r="D704" t="str">
        <v>MEG 022/132</v>
      </c>
      <c r="E704" t="str">
        <v>ex</v>
      </c>
      <c r="F704" t="str">
        <v>HCM</v>
      </c>
      <c r="G704">
        <v>35</v>
      </c>
      <c r="H704">
        <v>1</v>
      </c>
      <c r="K704">
        <f>J704+H704-I704</f>
        <v>1</v>
      </c>
      <c r="L704">
        <f>G704*K704</f>
        <v>35</v>
      </c>
    </row>
    <row r="705">
      <c r="A705" t="str">
        <v>EX-Y-04</v>
      </c>
      <c r="B705" t="str">
        <v>pokemon</v>
      </c>
      <c r="C705" t="str">
        <v>GOLEM</v>
      </c>
      <c r="D705" t="str">
        <v>MEW 076/165</v>
      </c>
      <c r="E705" t="str">
        <v>ex</v>
      </c>
      <c r="F705" t="str">
        <v>HCM</v>
      </c>
      <c r="G705">
        <v>35</v>
      </c>
      <c r="H705">
        <v>2</v>
      </c>
      <c r="K705">
        <f>J705+H705-I705</f>
        <v>2</v>
      </c>
      <c r="L705">
        <f>G705*K705</f>
        <v>70</v>
      </c>
    </row>
    <row r="706">
      <c r="A706" t="str">
        <v>EX-DB-01</v>
      </c>
      <c r="B706" t="str">
        <v>pokemon</v>
      </c>
      <c r="C706" t="str">
        <v>CHARIZARD</v>
      </c>
      <c r="D706" t="str">
        <v>OBF 125/197</v>
      </c>
      <c r="E706" t="str">
        <v>ex</v>
      </c>
      <c r="F706" t="str">
        <v>HCM</v>
      </c>
      <c r="G706">
        <v>100</v>
      </c>
      <c r="H706">
        <v>2</v>
      </c>
      <c r="K706">
        <f>J706+H706-I706</f>
        <v>2</v>
      </c>
      <c r="L706">
        <f>G706*K706</f>
        <v>200</v>
      </c>
    </row>
    <row r="707">
      <c r="A707" t="str">
        <v>EX-Y-06</v>
      </c>
      <c r="B707" t="str">
        <v>pokemon</v>
      </c>
      <c r="C707" t="str">
        <v>PIKACHU</v>
      </c>
      <c r="D707" t="str">
        <v>SSP 057/191</v>
      </c>
      <c r="E707" t="str">
        <v>ex</v>
      </c>
      <c r="F707" t="str">
        <v>HCM</v>
      </c>
      <c r="G707">
        <v>120</v>
      </c>
      <c r="H707">
        <v>3</v>
      </c>
      <c r="K707">
        <f>J707+H707-I707</f>
        <v>3</v>
      </c>
      <c r="L707">
        <f>G707*K707</f>
        <v>360</v>
      </c>
    </row>
    <row r="708">
      <c r="A708" t="str">
        <v>EX-P-01</v>
      </c>
      <c r="B708" t="str">
        <v>pokemon</v>
      </c>
      <c r="C708" t="str">
        <v xml:space="preserve">LILLIE'S CLEFAIRY </v>
      </c>
      <c r="D708" t="str">
        <v>JTG 056/159</v>
      </c>
      <c r="E708" t="str">
        <v>ex</v>
      </c>
      <c r="F708" t="str">
        <v>HCM</v>
      </c>
      <c r="G708">
        <v>60</v>
      </c>
      <c r="H708">
        <v>5</v>
      </c>
      <c r="K708">
        <f>J708+H708-I708</f>
        <v>5</v>
      </c>
      <c r="L708">
        <f>G708*K708</f>
        <v>300</v>
      </c>
    </row>
    <row r="709">
      <c r="A709" t="str">
        <v>EX-P-04</v>
      </c>
      <c r="B709" t="str">
        <v>pokemon</v>
      </c>
      <c r="C709" t="str">
        <v>LATIAS</v>
      </c>
      <c r="D709" t="str">
        <v>SSP 076/191</v>
      </c>
      <c r="E709" t="str">
        <v>ex</v>
      </c>
      <c r="F709" t="str">
        <v>HCM</v>
      </c>
      <c r="G709">
        <v>65</v>
      </c>
      <c r="H709">
        <v>1</v>
      </c>
      <c r="K709">
        <f>J709+H709-I709</f>
        <v>1</v>
      </c>
      <c r="L709">
        <f>G709*K709</f>
        <v>65</v>
      </c>
    </row>
    <row r="710">
      <c r="A710" t="str">
        <v>EX-P-05</v>
      </c>
      <c r="B710" t="str">
        <v>pokemon</v>
      </c>
      <c r="C710" t="str">
        <v>MEW</v>
      </c>
      <c r="D710" t="str">
        <v>MEW 151/165</v>
      </c>
      <c r="E710" t="str">
        <v>ex</v>
      </c>
      <c r="F710" t="str">
        <v>HCM</v>
      </c>
      <c r="G710">
        <v>150</v>
      </c>
      <c r="H710">
        <v>3</v>
      </c>
      <c r="K710">
        <f>J710+H710-I710</f>
        <v>3</v>
      </c>
      <c r="L710">
        <f>G710*K710</f>
        <v>450</v>
      </c>
    </row>
    <row r="711">
      <c r="A711" t="str">
        <v>EX-Y-05</v>
      </c>
      <c r="B711" t="str">
        <v>pokemon</v>
      </c>
      <c r="C711" t="str">
        <v>IRON HANDS</v>
      </c>
      <c r="D711" t="str">
        <v>PAR 070/182</v>
      </c>
      <c r="E711" t="str">
        <v>ex</v>
      </c>
      <c r="F711" t="str">
        <v>HCM</v>
      </c>
      <c r="G711">
        <v>35</v>
      </c>
      <c r="H711">
        <v>2</v>
      </c>
      <c r="K711">
        <f>J711+H711-I711</f>
        <v>2</v>
      </c>
      <c r="L711">
        <f>G711*K711</f>
        <v>70</v>
      </c>
    </row>
    <row r="712">
      <c r="A712" t="str">
        <v>EX-LB-06</v>
      </c>
      <c r="B712" t="str">
        <v>pokemon</v>
      </c>
      <c r="C712" t="str">
        <v>TERAPAGOS</v>
      </c>
      <c r="D712" t="str">
        <v>SCR 128/142</v>
      </c>
      <c r="E712" t="str">
        <v>ex</v>
      </c>
      <c r="F712" t="str">
        <v>HCM</v>
      </c>
      <c r="G712">
        <v>40</v>
      </c>
      <c r="H712">
        <v>2</v>
      </c>
      <c r="K712">
        <f>J712+H712-I712</f>
        <v>2</v>
      </c>
      <c r="L712">
        <f>G712*K712</f>
        <v>80</v>
      </c>
    </row>
    <row r="713">
      <c r="A713" t="str">
        <v>EX-Y-01</v>
      </c>
      <c r="B713" t="str">
        <v>pokemon</v>
      </c>
      <c r="C713" t="str">
        <v>DRAGAPULT</v>
      </c>
      <c r="D713" t="str">
        <v>TWM 130/167</v>
      </c>
      <c r="E713" t="str">
        <v>ex</v>
      </c>
      <c r="F713" t="str">
        <v>HCM</v>
      </c>
      <c r="G713">
        <v>70</v>
      </c>
      <c r="H713">
        <v>2</v>
      </c>
      <c r="K713">
        <f>J713+H713-I713</f>
        <v>2</v>
      </c>
      <c r="L713">
        <f>G713*K713</f>
        <v>140</v>
      </c>
    </row>
    <row r="714">
      <c r="A714" t="str">
        <v>EX-R-01</v>
      </c>
      <c r="B714" t="str">
        <v>pokemon</v>
      </c>
      <c r="C714" t="str">
        <v>ETHAN'S HO-OH</v>
      </c>
      <c r="D714" t="str">
        <v>DRI 039/182</v>
      </c>
      <c r="E714" t="str">
        <v>ex</v>
      </c>
      <c r="F714" t="str">
        <v>HCM</v>
      </c>
      <c r="G714">
        <v>30</v>
      </c>
      <c r="H714">
        <v>2</v>
      </c>
      <c r="K714">
        <f>J714+H714-I714</f>
        <v>2</v>
      </c>
      <c r="L714">
        <f>G714*K714</f>
        <v>60</v>
      </c>
    </row>
    <row r="715">
      <c r="A715" t="str">
        <v>EX-G-05</v>
      </c>
      <c r="B715" t="str">
        <v>pokemon</v>
      </c>
      <c r="C715" t="str">
        <v>HOP'S ZACIAN</v>
      </c>
      <c r="D715" t="str">
        <v>SVP 193</v>
      </c>
      <c r="E715" t="str">
        <v>ex</v>
      </c>
      <c r="F715" t="str">
        <v>HCM</v>
      </c>
      <c r="G715">
        <v>35</v>
      </c>
      <c r="H715">
        <v>1</v>
      </c>
      <c r="K715">
        <f>J715+H715-I715</f>
        <v>1</v>
      </c>
      <c r="L715">
        <f>G715*K715</f>
        <v>35</v>
      </c>
    </row>
    <row r="716">
      <c r="A716" t="str">
        <v>EX-G-02</v>
      </c>
      <c r="B716" t="str">
        <v>pokemon</v>
      </c>
      <c r="C716" t="str">
        <v>ESPATHRA</v>
      </c>
      <c r="D716" t="str">
        <v>PAF 006/091</v>
      </c>
      <c r="E716" t="str">
        <v>ex</v>
      </c>
      <c r="F716" t="str">
        <v>HCM</v>
      </c>
      <c r="G716">
        <v>30</v>
      </c>
      <c r="H716">
        <v>1</v>
      </c>
      <c r="K716">
        <f>J716+H716-I716</f>
        <v>1</v>
      </c>
      <c r="L716">
        <f>G716*K716</f>
        <v>30</v>
      </c>
    </row>
    <row r="717">
      <c r="A717" t="str">
        <v>EX-P-06</v>
      </c>
      <c r="B717" t="str">
        <v>pokemon</v>
      </c>
      <c r="C717" t="str">
        <v>SYLVEON</v>
      </c>
      <c r="D717" t="str">
        <v>SSP 086/191</v>
      </c>
      <c r="E717" t="str">
        <v>ex</v>
      </c>
      <c r="F717" t="str">
        <v>HCM</v>
      </c>
      <c r="G717">
        <v>60</v>
      </c>
      <c r="H717">
        <v>1</v>
      </c>
      <c r="K717">
        <f>J717+H717-I717</f>
        <v>1</v>
      </c>
      <c r="L717">
        <f>G717*K717</f>
        <v>60</v>
      </c>
    </row>
    <row r="718">
      <c r="A718" t="str">
        <v>EX-LB-03</v>
      </c>
      <c r="B718" t="str">
        <v>pokemon</v>
      </c>
      <c r="C718" t="str">
        <v>MILOTIC</v>
      </c>
      <c r="D718" t="str">
        <v>SSP 042/191</v>
      </c>
      <c r="E718" t="str">
        <v>ex</v>
      </c>
      <c r="F718" t="str">
        <v>HCM</v>
      </c>
      <c r="G718">
        <v>30</v>
      </c>
      <c r="H718">
        <v>1</v>
      </c>
      <c r="K718">
        <f>J718+H718-I718</f>
        <v>1</v>
      </c>
      <c r="L718">
        <f>G718*K718</f>
        <v>30</v>
      </c>
    </row>
    <row r="719">
      <c r="A719" t="str">
        <v>EX-LB-02</v>
      </c>
      <c r="B719" t="str">
        <v>pokemon</v>
      </c>
      <c r="C719" t="str">
        <v>MILOTIC</v>
      </c>
      <c r="D719" t="str">
        <v>SSP 217/191</v>
      </c>
      <c r="E719" t="str">
        <v>ex</v>
      </c>
      <c r="F719" t="str">
        <v>HCM</v>
      </c>
      <c r="G719">
        <v>70</v>
      </c>
      <c r="H719">
        <v>1</v>
      </c>
      <c r="K719">
        <f>J719+H719-I719</f>
        <v>1</v>
      </c>
      <c r="L719">
        <f>G719*K719</f>
        <v>70</v>
      </c>
    </row>
    <row r="720">
      <c r="A720" t="str">
        <v>PO-LB-09</v>
      </c>
      <c r="B720" t="str">
        <v>pokemon</v>
      </c>
      <c r="C720" t="str">
        <v>MILOTIC</v>
      </c>
      <c r="D720" t="str">
        <v>TWM 050/167</v>
      </c>
      <c r="E720" t="str">
        <v>normal</v>
      </c>
      <c r="F720" t="str">
        <v>HCM</v>
      </c>
      <c r="G720">
        <v>4</v>
      </c>
      <c r="H720">
        <v>1</v>
      </c>
      <c r="K720">
        <f>J720+H720-I720</f>
        <v>1</v>
      </c>
      <c r="L720">
        <f>G720*K720</f>
        <v>4</v>
      </c>
    </row>
    <row r="721">
      <c r="A721" t="str">
        <v>EX-Y-07</v>
      </c>
      <c r="B721" t="str">
        <v>pokemon</v>
      </c>
      <c r="C721" t="str">
        <v>TAPU KOKO</v>
      </c>
      <c r="D721" t="str">
        <v>PAR 068/182</v>
      </c>
      <c r="E721" t="str">
        <v>ex</v>
      </c>
      <c r="F721" t="str">
        <v>HCM</v>
      </c>
      <c r="G721">
        <v>30</v>
      </c>
      <c r="H721">
        <v>1</v>
      </c>
      <c r="K721">
        <f>J721+H721-I721</f>
        <v>1</v>
      </c>
      <c r="L721">
        <f>G721*K721</f>
        <v>30</v>
      </c>
    </row>
    <row r="722">
      <c r="A722" t="str">
        <v>PO-Y-30</v>
      </c>
      <c r="B722" t="str">
        <v>pokemon</v>
      </c>
      <c r="C722" t="str">
        <v>TAPU KOKO</v>
      </c>
      <c r="D722" t="str">
        <v>SSP 065/191</v>
      </c>
      <c r="E722" t="str">
        <v>holo</v>
      </c>
      <c r="F722" t="str">
        <v>HCM</v>
      </c>
      <c r="G722">
        <v>4</v>
      </c>
      <c r="H722">
        <v>1</v>
      </c>
      <c r="K722">
        <f>J722+H722-I722</f>
        <v>1</v>
      </c>
      <c r="L722">
        <f>G722*K722</f>
        <v>4</v>
      </c>
    </row>
    <row r="723">
      <c r="A723" t="str">
        <v>EX-R-02</v>
      </c>
      <c r="B723" t="str">
        <v>pokemon</v>
      </c>
      <c r="C723" t="str">
        <v>INCINEROAR</v>
      </c>
      <c r="D723" t="str">
        <v>TEF 034/162</v>
      </c>
      <c r="E723" t="str">
        <v>ex</v>
      </c>
      <c r="F723" t="str">
        <v>HCM</v>
      </c>
      <c r="G723">
        <v>25</v>
      </c>
      <c r="H723">
        <v>1</v>
      </c>
      <c r="K723">
        <f>J723+H723-I723</f>
        <v>1</v>
      </c>
      <c r="L723">
        <f>G723*K723</f>
        <v>25</v>
      </c>
    </row>
    <row r="724">
      <c r="A724" t="str">
        <v>EX-LB-08</v>
      </c>
      <c r="B724" t="str">
        <v>pokemon</v>
      </c>
      <c r="C724" t="str">
        <v>ZEKROM</v>
      </c>
      <c r="D724" t="str">
        <v>BLK 034/086</v>
      </c>
      <c r="E724" t="str">
        <v>ex</v>
      </c>
      <c r="F724" t="str">
        <v>HCM</v>
      </c>
      <c r="G724">
        <v>35</v>
      </c>
      <c r="H724">
        <v>1</v>
      </c>
      <c r="K724">
        <f>J724+H724-I724</f>
        <v>1</v>
      </c>
      <c r="L724">
        <f>G724*K724</f>
        <v>35</v>
      </c>
    </row>
    <row r="725">
      <c r="A725" t="str">
        <v>EX-R-03</v>
      </c>
      <c r="B725" t="str">
        <v>pokemon</v>
      </c>
      <c r="C725" t="str">
        <v>RESHIRAM</v>
      </c>
      <c r="D725" t="str">
        <v>WHT 020/086</v>
      </c>
      <c r="E725" t="str">
        <v>ex</v>
      </c>
      <c r="F725" t="str">
        <v>HCM</v>
      </c>
      <c r="G725">
        <v>35</v>
      </c>
      <c r="H725">
        <v>1</v>
      </c>
      <c r="K725">
        <f>J725+H725-I725</f>
        <v>1</v>
      </c>
      <c r="L725">
        <f>G725*K725</f>
        <v>35</v>
      </c>
    </row>
    <row r="726">
      <c r="A726" t="str">
        <v xml:space="preserve">PO-R-22		</v>
      </c>
      <c r="B726" t="str">
        <v>pokemon</v>
      </c>
      <c r="C726" t="str">
        <v>VICTINI</v>
      </c>
      <c r="D726" t="str">
        <v>SSP 021/191</v>
      </c>
      <c r="E726" t="str">
        <v>normal</v>
      </c>
      <c r="F726" t="str">
        <v>HCM</v>
      </c>
      <c r="G726">
        <v>4</v>
      </c>
      <c r="H726">
        <v>1</v>
      </c>
      <c r="K726">
        <f>J726+H726-I726</f>
        <v>1</v>
      </c>
      <c r="L726">
        <f>G726*K726</f>
        <v>4</v>
      </c>
    </row>
    <row r="727">
      <c r="A727" t="str">
        <v xml:space="preserve">PO-R-22		</v>
      </c>
      <c r="B727" t="str">
        <v>pokemon</v>
      </c>
      <c r="C727" t="str">
        <v>RESHIRAM</v>
      </c>
      <c r="D727" t="str">
        <v>PfL 017/094</v>
      </c>
      <c r="E727" t="str">
        <v>normal</v>
      </c>
      <c r="F727" t="str">
        <v>HCM</v>
      </c>
      <c r="G727">
        <v>3</v>
      </c>
      <c r="H727">
        <v>1</v>
      </c>
      <c r="K727">
        <f>J727+H727-I727</f>
        <v>1</v>
      </c>
      <c r="L727">
        <f>G727*K727</f>
        <v>3</v>
      </c>
    </row>
    <row r="728">
      <c r="A728" t="str">
        <v>EX-G-06</v>
      </c>
      <c r="B728" t="str">
        <v>pokemon</v>
      </c>
      <c r="C728" t="str">
        <v>WIGGLYTUFF</v>
      </c>
      <c r="D728" t="str">
        <v>MEW 040/165</v>
      </c>
      <c r="E728" t="str">
        <v>ex</v>
      </c>
      <c r="F728" t="str">
        <v>HCM</v>
      </c>
      <c r="G728">
        <v>25</v>
      </c>
      <c r="H728">
        <v>1</v>
      </c>
      <c r="K728">
        <f>J728+H728-I728</f>
        <v>1</v>
      </c>
      <c r="L728">
        <f>G728*K728</f>
        <v>25</v>
      </c>
    </row>
    <row r="729">
      <c r="A729" t="str">
        <v>EX-DB-02</v>
      </c>
      <c r="B729" t="str">
        <v>pokemon</v>
      </c>
      <c r="C729" t="str">
        <v>FARIGIRAF</v>
      </c>
      <c r="D729" t="str">
        <v>TEF 108/162</v>
      </c>
      <c r="E729" t="str">
        <v>ex</v>
      </c>
      <c r="F729" t="str">
        <v>HCM</v>
      </c>
      <c r="G729">
        <v>30</v>
      </c>
      <c r="H729">
        <v>1</v>
      </c>
      <c r="K729">
        <f>J729+H729-I729</f>
        <v>1</v>
      </c>
      <c r="L729">
        <f>G729*K729</f>
        <v>30</v>
      </c>
    </row>
    <row r="730">
      <c r="A730" t="str">
        <v>EX-LB-07</v>
      </c>
      <c r="B730" t="str">
        <v>pokemon</v>
      </c>
      <c r="C730" t="str">
        <v>BLOODMOON URSALUNA</v>
      </c>
      <c r="D730" t="str">
        <v>TWM 141/167</v>
      </c>
      <c r="E730" t="str">
        <v>ex</v>
      </c>
      <c r="F730" t="str">
        <v>HCM</v>
      </c>
      <c r="G730">
        <v>70</v>
      </c>
      <c r="H730">
        <v>2</v>
      </c>
      <c r="K730">
        <f>J730+H730-I730</f>
        <v>2</v>
      </c>
      <c r="L730">
        <f>G730*K730</f>
        <v>140</v>
      </c>
    </row>
    <row r="731">
      <c r="A731" t="str">
        <v>EX-DB-03</v>
      </c>
      <c r="B731" t="str">
        <v>pokemon</v>
      </c>
      <c r="C731" t="str">
        <v>MUNKIDORI</v>
      </c>
      <c r="D731" t="str">
        <v>SFA 037/064</v>
      </c>
      <c r="E731" t="str">
        <v>ex</v>
      </c>
      <c r="F731" t="str">
        <v>HCM</v>
      </c>
      <c r="G731">
        <v>30</v>
      </c>
      <c r="H731">
        <v>1</v>
      </c>
      <c r="K731">
        <f>J731+H731-I731</f>
        <v>1</v>
      </c>
      <c r="L731">
        <f>G731*K731</f>
        <v>30</v>
      </c>
    </row>
    <row r="732">
      <c r="A732" t="str">
        <v>EX-G-04</v>
      </c>
      <c r="B732" t="str">
        <v>pokemon</v>
      </c>
      <c r="C732" t="str">
        <v>SQUAWKABILLY</v>
      </c>
      <c r="D732" t="str">
        <v>PAF 075/091</v>
      </c>
      <c r="E732" t="str">
        <v>ex</v>
      </c>
      <c r="F732" t="str">
        <v>HCM</v>
      </c>
      <c r="G732">
        <v>35</v>
      </c>
      <c r="H732">
        <v>1</v>
      </c>
      <c r="K732">
        <f>J732+H732-I732</f>
        <v>1</v>
      </c>
      <c r="L732">
        <f>G732*K732</f>
        <v>35</v>
      </c>
    </row>
    <row r="733">
      <c r="A733" t="str">
        <v>EX-Y-03</v>
      </c>
      <c r="B733" t="str">
        <v>pokemon</v>
      </c>
      <c r="C733" t="str">
        <v>GENESECT</v>
      </c>
      <c r="D733" t="str">
        <v>BLK 067/086</v>
      </c>
      <c r="E733" t="str">
        <v>ex</v>
      </c>
      <c r="F733" t="str">
        <v>HCM</v>
      </c>
      <c r="G733">
        <v>40</v>
      </c>
      <c r="H733">
        <v>2</v>
      </c>
      <c r="K733">
        <f>J733+H733-I733</f>
        <v>2</v>
      </c>
      <c r="L733">
        <f>G733*K733</f>
        <v>80</v>
      </c>
    </row>
    <row r="734">
      <c r="A734" t="str">
        <v>EX-Y-02</v>
      </c>
      <c r="B734" t="str">
        <v>pokemon</v>
      </c>
      <c r="C734" t="str">
        <v>GENESECT</v>
      </c>
      <c r="D734" t="str">
        <v>BLK 161/086</v>
      </c>
      <c r="E734" t="str">
        <v>ex</v>
      </c>
      <c r="F734" t="str">
        <v>HCM</v>
      </c>
      <c r="G734">
        <v>65</v>
      </c>
      <c r="H734">
        <v>1</v>
      </c>
      <c r="K734">
        <f>J734+H734-I734</f>
        <v>1</v>
      </c>
      <c r="L734">
        <f>G734*K734</f>
        <v>65</v>
      </c>
    </row>
    <row r="735">
      <c r="A735" t="str">
        <v>EX-LB-05</v>
      </c>
      <c r="B735" t="str">
        <v>pokemon</v>
      </c>
      <c r="C735" t="str">
        <v>WELLSPRING MASK OGERPON</v>
      </c>
      <c r="D735" t="str">
        <v>TWM 064/167</v>
      </c>
      <c r="E735" t="str">
        <v>ex</v>
      </c>
      <c r="F735" t="str">
        <v>HCM</v>
      </c>
      <c r="G735">
        <v>45</v>
      </c>
      <c r="H735">
        <v>2</v>
      </c>
      <c r="K735">
        <f>J735+H735-I735</f>
        <v>2</v>
      </c>
    </row>
    <row r="736">
      <c r="B736" t="str">
        <v>pokemon</v>
      </c>
      <c r="C736" t="str">
        <v>カメックス (Blastoise)</v>
      </c>
      <c r="D736" t="str">
        <v>SV2A 009/165 RR</v>
      </c>
      <c r="E736" t="str">
        <v>ex</v>
      </c>
      <c r="F736" t="str">
        <v>HCM</v>
      </c>
      <c r="G736">
        <v>20</v>
      </c>
      <c r="H736">
        <v>1</v>
      </c>
      <c r="K736">
        <f>J736+H736-I736</f>
        <v>1</v>
      </c>
      <c r="L736">
        <f>G736*K736</f>
        <v>20</v>
      </c>
    </row>
    <row r="737">
      <c r="A737" t="str">
        <v>IT-38</v>
      </c>
      <c r="B737" t="str">
        <v>item</v>
      </c>
      <c r="C737" t="str">
        <v>POKEGEAR 3.0</v>
      </c>
      <c r="D737" t="str">
        <v>BLK 084/086</v>
      </c>
      <c r="E737" t="str">
        <v>holo</v>
      </c>
      <c r="F737" t="str">
        <v>HCM</v>
      </c>
      <c r="G737">
        <v>6</v>
      </c>
      <c r="H737">
        <v>1</v>
      </c>
      <c r="K737">
        <f>J737+H737-I737</f>
        <v>1</v>
      </c>
      <c r="L737">
        <f>G737*K737</f>
        <v>6</v>
      </c>
    </row>
    <row r="738">
      <c r="A738" t="str">
        <v>TO-18</v>
      </c>
      <c r="B738" t="str">
        <v>tool</v>
      </c>
      <c r="C738" t="str">
        <v>RIGID BAND</v>
      </c>
      <c r="D738" t="str">
        <v>MEW 165/165</v>
      </c>
      <c r="E738" t="str">
        <v>normal</v>
      </c>
      <c r="F738" t="str">
        <v>HCM</v>
      </c>
      <c r="G738">
        <v>6</v>
      </c>
      <c r="H738">
        <v>8</v>
      </c>
      <c r="K738">
        <f>J738+H738-I738</f>
        <v>8</v>
      </c>
      <c r="L738">
        <f>G738*K738</f>
        <v>48</v>
      </c>
    </row>
    <row r="739">
      <c r="A739" t="str">
        <v>SUP-22</v>
      </c>
      <c r="B739" t="str">
        <v>suppoter</v>
      </c>
      <c r="C739" t="str">
        <v>GIACOMO</v>
      </c>
      <c r="D739" t="str">
        <v>PAL 182/193</v>
      </c>
      <c r="E739" t="str">
        <v>holo</v>
      </c>
      <c r="F739" t="str">
        <v>HCM</v>
      </c>
      <c r="G739">
        <v>3</v>
      </c>
      <c r="H739">
        <v>1</v>
      </c>
      <c r="K739">
        <f>J739+H739-I739</f>
        <v>1</v>
      </c>
      <c r="L739">
        <f>G739*K739</f>
        <v>3</v>
      </c>
    </row>
    <row r="740">
      <c r="A740" t="str">
        <v>SUP-22</v>
      </c>
      <c r="B740" t="str">
        <v>suppoter</v>
      </c>
      <c r="C740" t="str">
        <v>GIACOMO</v>
      </c>
      <c r="D740" t="str">
        <v>PAL 182/193</v>
      </c>
      <c r="E740" t="str">
        <v>normal</v>
      </c>
      <c r="F740" t="str">
        <v>HCM</v>
      </c>
      <c r="G740">
        <v>2</v>
      </c>
      <c r="H740">
        <v>10</v>
      </c>
      <c r="K740">
        <f>J740+H740-I740</f>
        <v>10</v>
      </c>
      <c r="L740">
        <f>G740*K740</f>
        <v>20</v>
      </c>
    </row>
    <row r="741">
      <c r="A741" t="str">
        <v>SUP-30</v>
      </c>
      <c r="B741" t="str">
        <v>suppoter</v>
      </c>
      <c r="C741" t="str">
        <v>LARRY</v>
      </c>
      <c r="D741" t="str">
        <v>PAR 165/182</v>
      </c>
      <c r="E741" t="str">
        <v>normal</v>
      </c>
      <c r="F741" t="str">
        <v>HCM</v>
      </c>
      <c r="G741">
        <v>4</v>
      </c>
      <c r="H741">
        <v>6</v>
      </c>
      <c r="K741">
        <f>J741+H741-I741</f>
        <v>6</v>
      </c>
      <c r="L741">
        <f>G741*K741</f>
        <v>24</v>
      </c>
    </row>
    <row r="742">
      <c r="A742" t="str">
        <v>SUP-08</v>
      </c>
      <c r="B742" t="str">
        <v>suppoter</v>
      </c>
      <c r="C742" t="str">
        <v>CLAVELL</v>
      </c>
      <c r="D742" t="str">
        <v>PAL 177/193</v>
      </c>
      <c r="E742" t="str">
        <v>holo</v>
      </c>
      <c r="F742" t="str">
        <v>HCM</v>
      </c>
      <c r="G742">
        <v>5</v>
      </c>
      <c r="H742">
        <v>1</v>
      </c>
      <c r="K742">
        <f>J742+H742-I742</f>
        <v>1</v>
      </c>
      <c r="L742">
        <f>G742*K742</f>
        <v>5</v>
      </c>
    </row>
    <row r="743">
      <c r="A743" t="str">
        <v>SUP-08</v>
      </c>
      <c r="B743" t="str">
        <v>suppoter</v>
      </c>
      <c r="C743" t="str">
        <v>CLAVELL</v>
      </c>
      <c r="D743" t="str">
        <v>PAL 177/193</v>
      </c>
      <c r="E743" t="str">
        <v>normal</v>
      </c>
      <c r="F743" t="str">
        <v>HCM</v>
      </c>
      <c r="G743">
        <v>2</v>
      </c>
      <c r="H743">
        <v>3</v>
      </c>
      <c r="K743">
        <f>J743+H743-I743</f>
        <v>3</v>
      </c>
      <c r="L743">
        <f>G743*K743</f>
        <v>6</v>
      </c>
    </row>
    <row r="744">
      <c r="A744" t="str">
        <v>IT-32</v>
      </c>
      <c r="B744" t="str">
        <v>item</v>
      </c>
      <c r="C744" t="str">
        <v>OGRE'S MASK</v>
      </c>
      <c r="D744" t="str">
        <v>TWM 159/167</v>
      </c>
      <c r="E744" t="str">
        <v>normal</v>
      </c>
      <c r="F744" t="str">
        <v>HCM</v>
      </c>
      <c r="G744">
        <v>3</v>
      </c>
      <c r="H744">
        <v>3</v>
      </c>
      <c r="K744">
        <f>J744+H744-I744</f>
        <v>3</v>
      </c>
      <c r="L744">
        <f>G744*K744</f>
        <v>9</v>
      </c>
    </row>
    <row r="745">
      <c r="A745" t="str">
        <v>IT-32</v>
      </c>
      <c r="B745" t="str">
        <v>item</v>
      </c>
      <c r="C745" t="str">
        <v>OGRE'S MASK</v>
      </c>
      <c r="D745" t="str">
        <v>PRE 118/131</v>
      </c>
      <c r="E745" t="str">
        <v>normal</v>
      </c>
      <c r="F745" t="str">
        <v>HCM</v>
      </c>
      <c r="G745">
        <v>3</v>
      </c>
      <c r="H745">
        <v>3</v>
      </c>
      <c r="K745">
        <f>J745+H745-I745</f>
        <v>3</v>
      </c>
      <c r="L745">
        <f>G745*K745</f>
        <v>9</v>
      </c>
    </row>
    <row r="746">
      <c r="A746" t="str">
        <v>TO-06</v>
      </c>
      <c r="B746" t="str">
        <v>tool</v>
      </c>
      <c r="C746" t="str">
        <v>TECHNICAL MACHINE: CRISIS PUNCH</v>
      </c>
      <c r="D746" t="str">
        <v>PAF 090/091</v>
      </c>
      <c r="E746" t="str">
        <v>normal</v>
      </c>
      <c r="F746" t="str">
        <v>HCM</v>
      </c>
      <c r="G746">
        <v>5</v>
      </c>
      <c r="H746">
        <v>3</v>
      </c>
      <c r="K746">
        <f>J746+H746-I746</f>
        <v>3</v>
      </c>
      <c r="L746">
        <f>G746*K746</f>
        <v>15</v>
      </c>
    </row>
    <row r="747">
      <c r="A747" t="str">
        <v>TO-35</v>
      </c>
      <c r="B747" t="str">
        <v>tool</v>
      </c>
      <c r="C747" t="str">
        <v>VITALITY BAND</v>
      </c>
      <c r="D747" t="str">
        <v>SVI 197/198</v>
      </c>
      <c r="E747" t="str">
        <v>normal</v>
      </c>
      <c r="F747" t="str">
        <v>HCM</v>
      </c>
      <c r="G747">
        <v>4</v>
      </c>
      <c r="H747">
        <v>8</v>
      </c>
      <c r="K747">
        <f>J747+H747-I747</f>
        <v>8</v>
      </c>
      <c r="L747">
        <f>G747*K747</f>
        <v>32</v>
      </c>
    </row>
    <row r="748">
      <c r="A748" t="str">
        <v>IT-33</v>
      </c>
      <c r="B748" t="str">
        <v>item</v>
      </c>
      <c r="C748" t="str">
        <v>PAL PAD</v>
      </c>
      <c r="D748" t="str">
        <v>SVI 182/198</v>
      </c>
      <c r="E748" t="str">
        <v>normal</v>
      </c>
      <c r="F748" t="str">
        <v>HCM</v>
      </c>
      <c r="G748">
        <v>9</v>
      </c>
      <c r="H748">
        <v>1</v>
      </c>
      <c r="K748">
        <f>J748+H748-I748</f>
        <v>1</v>
      </c>
      <c r="L748">
        <f>G748*K748</f>
        <v>9</v>
      </c>
    </row>
    <row r="749">
      <c r="A749" t="str">
        <v>IT-33</v>
      </c>
      <c r="B749" t="str">
        <v>item</v>
      </c>
      <c r="C749" t="str">
        <v>PAL PAD</v>
      </c>
      <c r="D749" t="str">
        <v>132/156</v>
      </c>
      <c r="E749" t="str">
        <v>normal</v>
      </c>
      <c r="F749" t="str">
        <v>HCM</v>
      </c>
      <c r="G749">
        <v>12</v>
      </c>
      <c r="H749">
        <v>4</v>
      </c>
      <c r="K749">
        <f>J749+H749-I749</f>
        <v>4</v>
      </c>
      <c r="L749">
        <f>G749*K749</f>
        <v>48</v>
      </c>
    </row>
    <row r="750">
      <c r="A750" t="str">
        <v>STA-11</v>
      </c>
      <c r="B750" t="str">
        <v>stadium</v>
      </c>
      <c r="C750" t="str">
        <v>Gravity Mountain</v>
      </c>
      <c r="D750" t="str">
        <v xml:space="preserve"> SSP 177/191</v>
      </c>
      <c r="E750" t="str">
        <v>normal</v>
      </c>
      <c r="F750" t="str">
        <v>HCM</v>
      </c>
      <c r="G750">
        <v>4</v>
      </c>
      <c r="H750">
        <v>20</v>
      </c>
      <c r="K750">
        <f>J750+H750-I750</f>
        <v>20</v>
      </c>
      <c r="L750">
        <f>G750*K750</f>
        <v>80</v>
      </c>
    </row>
    <row r="751">
      <c r="A751" t="str">
        <v>STA-11</v>
      </c>
      <c r="B751" t="str">
        <v>stadium</v>
      </c>
      <c r="C751" t="str">
        <v>Gravity Mountain</v>
      </c>
      <c r="D751" t="str">
        <v xml:space="preserve"> SSP 177/191</v>
      </c>
      <c r="E751" t="str">
        <v>holo</v>
      </c>
      <c r="F751" t="str">
        <v>HCM</v>
      </c>
      <c r="G751">
        <v>5</v>
      </c>
      <c r="H751">
        <v>2</v>
      </c>
      <c r="K751">
        <f>J751+H751-I751</f>
        <v>2</v>
      </c>
      <c r="L751">
        <f>G751*K751</f>
        <v>10</v>
      </c>
    </row>
    <row r="752">
      <c r="A752" t="str">
        <v>PO-G-22</v>
      </c>
      <c r="B752" t="str">
        <v>pokemon</v>
      </c>
      <c r="C752" t="str">
        <v>SHAYMIN</v>
      </c>
      <c r="D752" t="str">
        <v>DRI 010/182</v>
      </c>
      <c r="E752" t="str">
        <v>normal</v>
      </c>
      <c r="F752" t="str">
        <v>HCM</v>
      </c>
      <c r="G752">
        <v>6</v>
      </c>
      <c r="H752">
        <v>9</v>
      </c>
      <c r="K752">
        <f>J752+H752-I752</f>
        <v>9</v>
      </c>
      <c r="L752">
        <f>G752*K752</f>
        <v>54</v>
      </c>
    </row>
    <row r="753">
      <c r="A753" t="str">
        <v>PO-G-22</v>
      </c>
      <c r="B753" t="str">
        <v>pokemon</v>
      </c>
      <c r="C753" t="str">
        <v>SHAYMIN</v>
      </c>
      <c r="D753" t="str">
        <v>DRI 010/182</v>
      </c>
      <c r="E753" t="str">
        <v>holo</v>
      </c>
      <c r="F753" t="str">
        <v>HCM</v>
      </c>
      <c r="G753">
        <v>7</v>
      </c>
      <c r="H753">
        <v>1</v>
      </c>
      <c r="K753">
        <f>J753+H753-I753</f>
        <v>1</v>
      </c>
      <c r="L753">
        <f>G753*K753</f>
        <v>7</v>
      </c>
    </row>
    <row r="754">
      <c r="A754" t="str">
        <v>SUP-05</v>
      </c>
      <c r="B754" t="str">
        <v>suppoter</v>
      </c>
      <c r="C754" t="str">
        <v>BROCK'S SCOUTING</v>
      </c>
      <c r="D754" t="str">
        <v>JTG 146/159</v>
      </c>
      <c r="E754" t="str">
        <v>normal</v>
      </c>
      <c r="F754" t="str">
        <v>HCM</v>
      </c>
      <c r="G754">
        <v>6</v>
      </c>
      <c r="H754">
        <v>29</v>
      </c>
      <c r="K754">
        <f>J754+H754-I754</f>
        <v>29</v>
      </c>
      <c r="L754">
        <f>G754*K754</f>
        <v>174</v>
      </c>
    </row>
    <row r="755">
      <c r="A755" t="str">
        <v>PC-SUP-010</v>
      </c>
      <c r="B755" t="str">
        <v>suppoter</v>
      </c>
      <c r="C755" t="str">
        <v>BROCK'S SCOUTING</v>
      </c>
      <c r="D755" t="str">
        <v>JTG 146/159</v>
      </c>
      <c r="E755" t="str">
        <v>prize card</v>
      </c>
      <c r="F755" t="str">
        <v>HCM</v>
      </c>
      <c r="G755">
        <v>7</v>
      </c>
      <c r="H755">
        <v>1</v>
      </c>
      <c r="K755">
        <f>J755+H755-I755</f>
        <v>1</v>
      </c>
      <c r="L755">
        <f>G755*K755</f>
        <v>7</v>
      </c>
    </row>
    <row r="756">
      <c r="A756" t="str">
        <v>SUP-38</v>
      </c>
      <c r="B756" t="str">
        <v>suppoter</v>
      </c>
      <c r="C756" t="str">
        <v>SALVATORE</v>
      </c>
      <c r="D756" t="str">
        <v>TEF 160/162</v>
      </c>
      <c r="E756" t="str">
        <v>normal</v>
      </c>
      <c r="F756" t="str">
        <v>HCM</v>
      </c>
      <c r="G756">
        <v>3</v>
      </c>
      <c r="H756">
        <v>2</v>
      </c>
      <c r="K756">
        <f>J756+H756-I756</f>
        <v>2</v>
      </c>
      <c r="L756">
        <f>G756*K756</f>
        <v>6</v>
      </c>
    </row>
    <row r="757">
      <c r="A757" t="str">
        <v>PC-SUP-012</v>
      </c>
      <c r="B757" t="str">
        <v>suppoter</v>
      </c>
      <c r="C757" t="str">
        <v>SALVATORE</v>
      </c>
      <c r="D757" t="str">
        <v>TEF 160/162</v>
      </c>
      <c r="E757" t="str">
        <v>prize card</v>
      </c>
      <c r="F757" t="str">
        <v>HCM</v>
      </c>
      <c r="G757">
        <v>4</v>
      </c>
      <c r="H757">
        <v>1</v>
      </c>
      <c r="K757">
        <f>J757+H757-I757</f>
        <v>1</v>
      </c>
      <c r="L757">
        <f>G757*K757</f>
        <v>4</v>
      </c>
    </row>
    <row r="758">
      <c r="A758" t="str">
        <v>PO-P-20</v>
      </c>
      <c r="B758" t="str">
        <v>pokemon</v>
      </c>
      <c r="C758" t="str">
        <v>MUNKIDORI</v>
      </c>
      <c r="D758" t="str">
        <v>PRE 044/131</v>
      </c>
      <c r="E758" t="str">
        <v>normal</v>
      </c>
      <c r="F758" t="str">
        <v>HCM</v>
      </c>
      <c r="G758">
        <v>9</v>
      </c>
      <c r="H758">
        <v>2</v>
      </c>
      <c r="K758">
        <f>J758+H758-I758</f>
        <v>2</v>
      </c>
      <c r="L758">
        <f>G758*K758</f>
        <v>18</v>
      </c>
    </row>
    <row r="759">
      <c r="A759" t="str">
        <v>PO-P-20</v>
      </c>
      <c r="B759" t="str">
        <v>pokemon</v>
      </c>
      <c r="C759" t="str">
        <v>MUNKIDORI</v>
      </c>
      <c r="D759" t="str">
        <v>TWM EN 095/167</v>
      </c>
      <c r="E759" t="str">
        <v>normal</v>
      </c>
      <c r="F759" t="str">
        <v>HCM</v>
      </c>
      <c r="G759">
        <v>8</v>
      </c>
      <c r="H759">
        <v>6</v>
      </c>
      <c r="K759">
        <f>J759+H759-I759</f>
        <v>6</v>
      </c>
      <c r="L759">
        <f>G759*K759</f>
        <v>48</v>
      </c>
    </row>
    <row r="760">
      <c r="A760" t="str">
        <v>PO-P-20</v>
      </c>
      <c r="B760" t="str">
        <v>pokemon</v>
      </c>
      <c r="C760" t="str">
        <v>MUNKIDORI</v>
      </c>
      <c r="D760" t="str">
        <v>ASC 099/217</v>
      </c>
      <c r="E760" t="str">
        <v>normal</v>
      </c>
      <c r="F760" t="str">
        <v>HCM</v>
      </c>
      <c r="G760">
        <v>7</v>
      </c>
      <c r="H760">
        <v>1</v>
      </c>
      <c r="K760">
        <f>J760+H760-I760</f>
        <v>1</v>
      </c>
      <c r="L760">
        <f>G760*K760</f>
        <v>7</v>
      </c>
    </row>
    <row r="761">
      <c r="A761" t="str">
        <v>PO-P-16</v>
      </c>
      <c r="B761" t="str">
        <v>pokemon</v>
      </c>
      <c r="C761" t="str">
        <v>GOTHITELLE</v>
      </c>
      <c r="D761" t="str">
        <v>WHT 043/086</v>
      </c>
      <c r="E761" t="str">
        <v>holo</v>
      </c>
      <c r="F761" t="str">
        <v>HCM</v>
      </c>
      <c r="G761">
        <v>4</v>
      </c>
      <c r="H761">
        <v>1</v>
      </c>
      <c r="K761">
        <f>J761+H761-I761</f>
        <v>1</v>
      </c>
      <c r="L761">
        <f>G761*K761</f>
        <v>4</v>
      </c>
    </row>
    <row r="762">
      <c r="A762" t="str">
        <v>SUP-09</v>
      </c>
      <c r="B762" t="str">
        <v>suppoter</v>
      </c>
      <c r="C762" t="str">
        <v>CLEMONT'S QUICK WIT</v>
      </c>
      <c r="D762" t="str">
        <v>SSP 167/191</v>
      </c>
      <c r="E762" t="str">
        <v>holo</v>
      </c>
      <c r="F762" t="str">
        <v>HCM</v>
      </c>
      <c r="G762">
        <v>3</v>
      </c>
      <c r="H762">
        <v>1</v>
      </c>
      <c r="K762">
        <f>J762+H762-I762</f>
        <v>1</v>
      </c>
      <c r="L762">
        <f>G762*K762</f>
        <v>3</v>
      </c>
    </row>
    <row r="763">
      <c r="A763" t="str">
        <v>SUP-09</v>
      </c>
      <c r="B763" t="str">
        <v>suppoter</v>
      </c>
      <c r="C763" t="str">
        <v>CLEMONT'S QUICK WIT</v>
      </c>
      <c r="D763" t="str">
        <v>SSP 167/191</v>
      </c>
      <c r="E763" t="str">
        <v>normal</v>
      </c>
      <c r="F763" t="str">
        <v>HCM</v>
      </c>
      <c r="G763">
        <v>2</v>
      </c>
      <c r="H763">
        <v>4</v>
      </c>
      <c r="K763">
        <f>J763+H763-I763</f>
        <v>4</v>
      </c>
      <c r="L763">
        <f>G763*K763</f>
        <v>8</v>
      </c>
    </row>
    <row r="764">
      <c r="A764" t="str">
        <v>IT-09</v>
      </c>
      <c r="B764" t="str">
        <v>item</v>
      </c>
      <c r="C764" t="str">
        <v>DEDUCTION KIT</v>
      </c>
      <c r="D764" t="str">
        <v>SSP 171/191</v>
      </c>
      <c r="E764" t="str">
        <v>normal</v>
      </c>
      <c r="F764" t="str">
        <v>HCM</v>
      </c>
      <c r="G764">
        <v>2</v>
      </c>
      <c r="H764">
        <v>3</v>
      </c>
      <c r="K764">
        <f>J764+H764-I764</f>
        <v>3</v>
      </c>
      <c r="L764">
        <f>G764*K764</f>
        <v>6</v>
      </c>
    </row>
    <row r="765">
      <c r="B765" t="str">
        <v>suppoter</v>
      </c>
      <c r="C765" t="str">
        <v>CARMINE</v>
      </c>
      <c r="D765" t="str">
        <v>PRE 103/131</v>
      </c>
      <c r="E765" t="str">
        <v>normal</v>
      </c>
      <c r="F765" t="str">
        <v>HCM</v>
      </c>
      <c r="G765">
        <v>6</v>
      </c>
      <c r="H765">
        <v>1</v>
      </c>
      <c r="K765">
        <f>J765+H765-I765</f>
        <v>1</v>
      </c>
      <c r="L765">
        <f>G765*K765</f>
        <v>6</v>
      </c>
    </row>
    <row r="766">
      <c r="A766" t="str">
        <v>PO-LB-08</v>
      </c>
      <c r="B766" t="str">
        <v>pokemon</v>
      </c>
      <c r="C766" t="str">
        <v>LAPRAS</v>
      </c>
      <c r="D766" t="str">
        <v>E 054/264</v>
      </c>
      <c r="E766" t="str">
        <v>holo</v>
      </c>
      <c r="F766" t="str">
        <v>HCM</v>
      </c>
      <c r="G766">
        <v>4</v>
      </c>
      <c r="H766">
        <v>1</v>
      </c>
      <c r="K766">
        <f>J766+H766-I766</f>
        <v>1</v>
      </c>
      <c r="L766">
        <f>G766*K766</f>
        <v>4</v>
      </c>
    </row>
    <row r="767">
      <c r="A767" t="str">
        <v>PO-Y-09</v>
      </c>
      <c r="B767" t="str">
        <v>pokemon</v>
      </c>
      <c r="C767" t="str">
        <v>FALINKS</v>
      </c>
      <c r="D767" t="str">
        <v>E 155/264</v>
      </c>
      <c r="E767" t="str">
        <v>holo</v>
      </c>
      <c r="F767" t="str">
        <v>HCM</v>
      </c>
      <c r="G767">
        <v>2</v>
      </c>
      <c r="H767">
        <v>1</v>
      </c>
      <c r="K767">
        <f>J767+H767-I767</f>
        <v>1</v>
      </c>
      <c r="L767">
        <f>G767*K767</f>
        <v>2</v>
      </c>
    </row>
    <row r="768">
      <c r="A768" t="str">
        <v>PO-Y-12</v>
      </c>
      <c r="B768" t="str">
        <v>pokemon</v>
      </c>
      <c r="C768" t="str">
        <v>GOODRA</v>
      </c>
      <c r="E768" t="str">
        <v>holo</v>
      </c>
      <c r="F768" t="str">
        <v>HCM</v>
      </c>
      <c r="G768">
        <v>3</v>
      </c>
      <c r="H768">
        <v>1</v>
      </c>
      <c r="K768">
        <f>J768+H768-I768</f>
        <v>1</v>
      </c>
      <c r="L768">
        <f>G768*K768</f>
        <v>3</v>
      </c>
    </row>
    <row r="769">
      <c r="A769" t="str">
        <v>IT-06</v>
      </c>
      <c r="B769" t="str">
        <v>item</v>
      </c>
      <c r="C769" t="str">
        <v>COUNTER CATCHER</v>
      </c>
      <c r="D769" t="str">
        <v>91/111</v>
      </c>
      <c r="E769" t="str">
        <v>normal</v>
      </c>
      <c r="F769" t="str">
        <v>HCM</v>
      </c>
      <c r="G769">
        <v>7</v>
      </c>
      <c r="H769">
        <v>1</v>
      </c>
      <c r="K769">
        <f>J769+H769-I769</f>
        <v>1</v>
      </c>
      <c r="L769">
        <f>G769*K769</f>
        <v>7</v>
      </c>
    </row>
    <row r="770">
      <c r="A770" t="str">
        <v>IT-06</v>
      </c>
      <c r="B770" t="str">
        <v>item</v>
      </c>
      <c r="C770" t="str">
        <v>COUNTER CATCHER</v>
      </c>
      <c r="D770" t="str">
        <v>PAR 160/182</v>
      </c>
      <c r="E770" t="str">
        <v>normal</v>
      </c>
      <c r="F770" t="str">
        <v>HCM</v>
      </c>
      <c r="G770">
        <v>5</v>
      </c>
      <c r="H770">
        <v>4</v>
      </c>
      <c r="K770">
        <f>J770+H770-I770</f>
        <v>4</v>
      </c>
    </row>
    <row r="771">
      <c r="A771" t="str">
        <v>PO-W-33</v>
      </c>
      <c r="B771" t="str">
        <v>pokemon</v>
      </c>
      <c r="C771" t="str">
        <v>ZAMAZENTA</v>
      </c>
      <c r="D771" t="str">
        <v>DRI 146/182</v>
      </c>
      <c r="E771" t="str">
        <v>holo</v>
      </c>
      <c r="F771" t="str">
        <v>HCM</v>
      </c>
      <c r="G771">
        <v>4</v>
      </c>
      <c r="H771">
        <v>1</v>
      </c>
      <c r="K771">
        <f>J771+H771-I771</f>
        <v>1</v>
      </c>
      <c r="L771">
        <f>G771*K771</f>
        <v>4</v>
      </c>
    </row>
    <row r="772">
      <c r="A772" t="str">
        <v>TO-03</v>
      </c>
      <c r="B772" t="str">
        <v>tool</v>
      </c>
      <c r="C772" t="str">
        <v>MAXIMUM BELT</v>
      </c>
      <c r="D772" t="str">
        <v>PRE 117/131</v>
      </c>
      <c r="E772" t="str">
        <v>holo</v>
      </c>
      <c r="F772" t="str">
        <v>HCM</v>
      </c>
      <c r="G772">
        <v>25</v>
      </c>
      <c r="H772">
        <v>1</v>
      </c>
      <c r="K772">
        <f>J772+H772-I772</f>
        <v>1</v>
      </c>
      <c r="L772">
        <f>G772*K772</f>
        <v>25</v>
      </c>
    </row>
    <row r="773">
      <c r="B773" t="str">
        <v>item</v>
      </c>
      <c r="C773" t="str">
        <v>PRIME CATCHER</v>
      </c>
      <c r="D773" t="str">
        <v>PRE 119/131</v>
      </c>
      <c r="E773" t="str">
        <v>holo</v>
      </c>
      <c r="F773" t="str">
        <v>HCM</v>
      </c>
      <c r="G773">
        <v>30</v>
      </c>
      <c r="H773">
        <v>3</v>
      </c>
      <c r="K773">
        <f>J773+H773-I773</f>
        <v>3</v>
      </c>
      <c r="L773">
        <f>G773*K773</f>
        <v>90</v>
      </c>
    </row>
    <row r="774">
      <c r="B774" t="str">
        <v>item</v>
      </c>
      <c r="C774" t="str">
        <v>PRIME CATCHER</v>
      </c>
      <c r="D774" t="str">
        <v>TEF 157/162</v>
      </c>
      <c r="E774" t="str">
        <v>holo</v>
      </c>
      <c r="F774" t="str">
        <v>HCM</v>
      </c>
      <c r="G774">
        <v>30</v>
      </c>
      <c r="H774">
        <v>1</v>
      </c>
      <c r="K774">
        <f>J774+H774-I774</f>
        <v>1</v>
      </c>
      <c r="L774">
        <f>G774*K774</f>
        <v>30</v>
      </c>
    </row>
    <row r="775">
      <c r="A775" t="str">
        <v>TO-04A</v>
      </c>
      <c r="B775" t="str">
        <v>tool</v>
      </c>
      <c r="C775" t="str">
        <v>SPARKLING CRYSTAL</v>
      </c>
      <c r="D775" t="str">
        <v>PRE 129/131</v>
      </c>
      <c r="E775" t="str">
        <v>holo</v>
      </c>
      <c r="F775" t="str">
        <v>HCM</v>
      </c>
      <c r="G775">
        <v>40</v>
      </c>
      <c r="H775">
        <v>1</v>
      </c>
      <c r="K775">
        <f>J775+H775-I775</f>
        <v>1</v>
      </c>
    </row>
    <row r="776">
      <c r="A776" t="str">
        <v>TO-04</v>
      </c>
      <c r="B776" t="str">
        <v>tool</v>
      </c>
      <c r="C776" t="str">
        <v>SCOOP UP CYCLONE</v>
      </c>
      <c r="D776" t="str">
        <v>PRE 128/131</v>
      </c>
      <c r="E776" t="str">
        <v>holo</v>
      </c>
      <c r="F776" t="str">
        <v>HCM</v>
      </c>
      <c r="G776">
        <v>15</v>
      </c>
      <c r="H776">
        <v>1</v>
      </c>
      <c r="K776">
        <f>J776+H776-I776</f>
        <v>1</v>
      </c>
      <c r="L776">
        <f>G776*K776</f>
        <v>15</v>
      </c>
    </row>
    <row r="777">
      <c r="A777" t="str">
        <v>TO-02</v>
      </c>
      <c r="B777" t="str">
        <v>tool</v>
      </c>
      <c r="C777" t="str">
        <v>DELUXE BOMB</v>
      </c>
      <c r="D777" t="str">
        <v>SCR 134/142</v>
      </c>
      <c r="E777" t="str">
        <v>holo</v>
      </c>
      <c r="F777" t="str">
        <v>HCM</v>
      </c>
      <c r="G777">
        <v>15</v>
      </c>
      <c r="H777">
        <v>1</v>
      </c>
      <c r="K777">
        <f>J777+H777-I777</f>
        <v>1</v>
      </c>
      <c r="L777">
        <f>G777*K777</f>
        <v>15</v>
      </c>
    </row>
    <row r="778">
      <c r="A778" t="str">
        <v>TO-01</v>
      </c>
      <c r="B778" t="str">
        <v>tool</v>
      </c>
      <c r="C778" t="str">
        <v>AMULET OF HOPE</v>
      </c>
      <c r="D778" t="str">
        <v>SSP 162/191</v>
      </c>
      <c r="E778" t="str">
        <v>holo</v>
      </c>
      <c r="F778" t="str">
        <v>HCM</v>
      </c>
      <c r="G778">
        <v>20</v>
      </c>
      <c r="H778">
        <v>2</v>
      </c>
      <c r="K778">
        <f>J778+H778-I778</f>
        <v>2</v>
      </c>
      <c r="L778">
        <f>G778*K778</f>
        <v>40</v>
      </c>
    </row>
    <row r="779">
      <c r="B779" t="str">
        <v>item</v>
      </c>
      <c r="C779" t="str">
        <v>POKE VITAL A</v>
      </c>
      <c r="D779" t="str">
        <v>SFA 062/064</v>
      </c>
      <c r="E779" t="str">
        <v>holo</v>
      </c>
      <c r="F779" t="str">
        <v>HCM</v>
      </c>
      <c r="G779">
        <v>25</v>
      </c>
      <c r="H779">
        <v>1</v>
      </c>
      <c r="K779">
        <f>J779+H779-I779</f>
        <v>1</v>
      </c>
      <c r="L779">
        <f>G779*K779</f>
        <v>25</v>
      </c>
    </row>
    <row r="780">
      <c r="B780" t="str">
        <v>item</v>
      </c>
      <c r="C780" t="str">
        <v>BRILLIANT BLENDER</v>
      </c>
      <c r="D780" t="str">
        <v>SSP 164/191</v>
      </c>
      <c r="E780" t="str">
        <v>holo</v>
      </c>
      <c r="F780" t="str">
        <v>HCM</v>
      </c>
      <c r="G780">
        <v>20</v>
      </c>
      <c r="H780">
        <v>1</v>
      </c>
      <c r="K780">
        <f>J780+H780-I780</f>
        <v>1</v>
      </c>
      <c r="L780">
        <f>G780*K780</f>
        <v>20</v>
      </c>
    </row>
    <row r="781">
      <c r="A781" t="str">
        <v>STA-20</v>
      </c>
      <c r="B781" t="str">
        <v>stadium</v>
      </c>
      <c r="C781" t="str">
        <v>NEUTRALIZATION ZONE</v>
      </c>
      <c r="D781" t="str">
        <v>SFA 060/064</v>
      </c>
      <c r="E781" t="str">
        <v>holo</v>
      </c>
      <c r="F781" t="str">
        <v>HCM</v>
      </c>
      <c r="G781">
        <v>30</v>
      </c>
      <c r="H781">
        <v>1</v>
      </c>
      <c r="K781">
        <f>J781+H781-I781</f>
        <v>1</v>
      </c>
      <c r="L781">
        <f>G781*K781</f>
        <v>30</v>
      </c>
    </row>
    <row r="782">
      <c r="A782" t="str">
        <v>PO-W-23</v>
      </c>
      <c r="B782" t="str">
        <v>pokemon</v>
      </c>
      <c r="C782" t="str">
        <v>PIDGEY</v>
      </c>
      <c r="D782" t="str">
        <v>MEW 016/165</v>
      </c>
      <c r="E782" t="str">
        <v>normal</v>
      </c>
      <c r="F782" t="str">
        <v>HCM</v>
      </c>
      <c r="G782">
        <v>4</v>
      </c>
      <c r="H782">
        <v>2</v>
      </c>
      <c r="K782">
        <f>J782+H782-I782</f>
        <v>2</v>
      </c>
      <c r="L782">
        <f>G782*K782</f>
        <v>8</v>
      </c>
    </row>
    <row r="783">
      <c r="A783" t="str">
        <v>PO-W-23</v>
      </c>
      <c r="B783" t="str">
        <v>pokemon</v>
      </c>
      <c r="C783" t="str">
        <v>PIDGEY</v>
      </c>
      <c r="D783" t="str">
        <v>MEW 016/165</v>
      </c>
      <c r="E783" t="str">
        <v>holo</v>
      </c>
      <c r="F783" t="str">
        <v>HCM</v>
      </c>
      <c r="G783">
        <v>4</v>
      </c>
      <c r="H783">
        <v>1</v>
      </c>
      <c r="K783">
        <f>J783+H783-I783</f>
        <v>1</v>
      </c>
      <c r="L783">
        <f>G783*K783</f>
        <v>4</v>
      </c>
    </row>
    <row r="784">
      <c r="A784" t="str">
        <v>PO-Y-40</v>
      </c>
      <c r="B784" t="str">
        <v>pokemon</v>
      </c>
      <c r="C784" t="str">
        <v>SLITHER WING</v>
      </c>
      <c r="D784" t="str">
        <v>PAR 107/182</v>
      </c>
      <c r="E784" t="str">
        <v>normal</v>
      </c>
      <c r="F784" t="str">
        <v>HCM</v>
      </c>
      <c r="G784">
        <v>3</v>
      </c>
      <c r="H784">
        <v>4</v>
      </c>
      <c r="K784">
        <f>J784+H784-I784</f>
        <v>4</v>
      </c>
      <c r="L784">
        <f>G784*K784</f>
        <v>12</v>
      </c>
    </row>
    <row r="785">
      <c r="A785" t="str">
        <v>PO-G-16</v>
      </c>
      <c r="B785" t="str">
        <v>pokemon</v>
      </c>
      <c r="C785" t="str">
        <v>MARACTUS</v>
      </c>
      <c r="D785" t="str">
        <v>JTG 008/159</v>
      </c>
      <c r="E785" t="str">
        <v>normal</v>
      </c>
      <c r="F785" t="str">
        <v>HCM</v>
      </c>
      <c r="G785">
        <v>3</v>
      </c>
      <c r="H785">
        <v>9</v>
      </c>
      <c r="K785">
        <f>J785+H785-I785</f>
        <v>9</v>
      </c>
      <c r="L785">
        <f>G785*K785</f>
        <v>27</v>
      </c>
    </row>
    <row r="786">
      <c r="A786" t="str">
        <v>PO-Y-20</v>
      </c>
      <c r="B786" t="str">
        <v>pokemon</v>
      </c>
      <c r="C786" t="str">
        <v>KORAIDON</v>
      </c>
      <c r="D786" t="str">
        <v>SSP 116/191</v>
      </c>
      <c r="E786" t="str">
        <v>normal</v>
      </c>
      <c r="F786" t="str">
        <v>HCM</v>
      </c>
      <c r="G786">
        <v>3</v>
      </c>
      <c r="H786">
        <v>6</v>
      </c>
      <c r="K786">
        <f>J786+H786-I786</f>
        <v>6</v>
      </c>
      <c r="L786">
        <f>G786*K786</f>
        <v>18</v>
      </c>
    </row>
    <row r="787">
      <c r="A787" t="str">
        <v>PO-Y-20</v>
      </c>
      <c r="B787" t="str">
        <v>pokemon</v>
      </c>
      <c r="C787" t="str">
        <v>KORAIDON</v>
      </c>
      <c r="D787" t="str">
        <v>TEF 119/162</v>
      </c>
      <c r="E787" t="str">
        <v>holo</v>
      </c>
      <c r="F787" t="str">
        <v>HCM</v>
      </c>
      <c r="G787">
        <v>4</v>
      </c>
      <c r="H787">
        <v>2</v>
      </c>
      <c r="K787">
        <f>J787+H787-I787</f>
        <v>2</v>
      </c>
      <c r="L787">
        <f>G787*K787</f>
        <v>8</v>
      </c>
    </row>
    <row r="788">
      <c r="A788" t="str">
        <v>PC-PO-010</v>
      </c>
      <c r="B788" t="str">
        <v>pokemon</v>
      </c>
      <c r="C788" t="str">
        <v>KORAIDON</v>
      </c>
      <c r="D788" t="str">
        <v>TEF EN 119/162</v>
      </c>
      <c r="E788" t="str">
        <v>prize card</v>
      </c>
      <c r="F788" t="str">
        <v>HCM</v>
      </c>
      <c r="G788">
        <v>3</v>
      </c>
      <c r="H788">
        <v>8</v>
      </c>
      <c r="K788">
        <f>J788+H788-I788</f>
        <v>8</v>
      </c>
      <c r="L788">
        <f>G788*K788</f>
        <v>24</v>
      </c>
    </row>
    <row r="789">
      <c r="B789" t="str">
        <v>pokemon</v>
      </c>
      <c r="C789" t="str">
        <v>BUDEW</v>
      </c>
      <c r="D789" t="str">
        <v>PRE 004/131</v>
      </c>
      <c r="E789" t="str">
        <v>normal</v>
      </c>
      <c r="F789" t="str">
        <v>HCM</v>
      </c>
      <c r="G789">
        <v>5</v>
      </c>
      <c r="H789">
        <v>7</v>
      </c>
      <c r="K789">
        <f>J789+H789-I789</f>
        <v>7</v>
      </c>
      <c r="L789">
        <f>G789*K789</f>
        <v>35</v>
      </c>
    </row>
    <row r="790">
      <c r="B790" t="str">
        <v>pokemon</v>
      </c>
      <c r="C790" t="str">
        <v>BUDEW</v>
      </c>
      <c r="D790" t="str">
        <v>PRE 004/131</v>
      </c>
      <c r="E790" t="str">
        <v>holo</v>
      </c>
      <c r="F790" t="str">
        <v>HCM</v>
      </c>
      <c r="G790">
        <v>6</v>
      </c>
      <c r="H790">
        <v>2</v>
      </c>
      <c r="K790">
        <f>J790+H790-I790</f>
        <v>2</v>
      </c>
      <c r="L790">
        <f>G790*K790</f>
        <v>12</v>
      </c>
    </row>
    <row r="791">
      <c r="B791" t="str">
        <v>pokemon</v>
      </c>
      <c r="C791" t="str">
        <v>CYNTHIA'S GARCHOMP</v>
      </c>
      <c r="D791" t="str">
        <v>DRI 104/182</v>
      </c>
      <c r="E791" t="str">
        <v>ex</v>
      </c>
      <c r="F791" t="str">
        <v>HCM</v>
      </c>
      <c r="G791">
        <v>40</v>
      </c>
      <c r="H791">
        <v>1</v>
      </c>
      <c r="K791">
        <f>J791+H791-I791</f>
        <v>1</v>
      </c>
      <c r="L791">
        <f>G791*K791</f>
        <v>40</v>
      </c>
    </row>
    <row r="792">
      <c r="A792" t="str">
        <v>EX-G-01</v>
      </c>
      <c r="B792" t="str">
        <v>pokemon</v>
      </c>
      <c r="C792" t="str">
        <v>ARBOLIVIA</v>
      </c>
      <c r="D792" t="str">
        <v>DRI 023/182</v>
      </c>
      <c r="E792" t="str">
        <v>ex</v>
      </c>
      <c r="F792" t="str">
        <v>HCM</v>
      </c>
      <c r="G792">
        <v>40</v>
      </c>
      <c r="H792">
        <v>1</v>
      </c>
      <c r="K792">
        <f>J792+H792-I792</f>
        <v>1</v>
      </c>
      <c r="L792">
        <f>G792*K792</f>
        <v>40</v>
      </c>
    </row>
    <row r="793">
      <c r="A793" t="str">
        <v>PO-G-01</v>
      </c>
      <c r="B793" t="str">
        <v>pokemon</v>
      </c>
      <c r="C793" t="str">
        <v>BULBASAUR</v>
      </c>
      <c r="D793" t="str">
        <v>MEG 001/132</v>
      </c>
      <c r="E793" t="str">
        <v>normal</v>
      </c>
      <c r="F793" t="str">
        <v>HCM</v>
      </c>
      <c r="G793">
        <v>4</v>
      </c>
      <c r="H793">
        <v>2</v>
      </c>
      <c r="K793">
        <f>J793+H793-I793</f>
        <v>2</v>
      </c>
      <c r="L793">
        <f>G793*K793</f>
        <v>8</v>
      </c>
    </row>
    <row r="794">
      <c r="A794" t="str">
        <v>EX-Y-08</v>
      </c>
      <c r="B794" t="str">
        <v>pokemon</v>
      </c>
      <c r="C794" t="str">
        <v>ROTOM</v>
      </c>
      <c r="D794" t="str">
        <v>PFL 029/094</v>
      </c>
      <c r="E794" t="str">
        <v>ex</v>
      </c>
      <c r="F794" t="str">
        <v>HCM</v>
      </c>
      <c r="G794">
        <v>20</v>
      </c>
      <c r="H794">
        <v>1</v>
      </c>
      <c r="K794">
        <f>J794+H794-I794</f>
        <v>1</v>
      </c>
      <c r="L794">
        <f>G794*K794</f>
        <v>20</v>
      </c>
    </row>
    <row r="795">
      <c r="A795" t="str">
        <v>EX-DB-06</v>
      </c>
      <c r="B795" t="str">
        <v>pokemon</v>
      </c>
      <c r="C795" t="str">
        <v>N'S ZOROARK</v>
      </c>
      <c r="D795" t="str">
        <v>JTG 98/159</v>
      </c>
      <c r="E795" t="str">
        <v>ex</v>
      </c>
      <c r="F795" t="str">
        <v>HCM</v>
      </c>
      <c r="G795">
        <v>65</v>
      </c>
      <c r="H795">
        <v>1</v>
      </c>
      <c r="K795">
        <f>J795+H795-I795</f>
        <v>1</v>
      </c>
      <c r="L795">
        <f>G795*K795</f>
        <v>65</v>
      </c>
    </row>
    <row r="796">
      <c r="A796" t="str">
        <v>EX-LB-01</v>
      </c>
      <c r="B796" t="str">
        <v>pokemon</v>
      </c>
      <c r="C796" t="str">
        <v>Dudunsparce</v>
      </c>
      <c r="D796" t="str">
        <v>ASC 164/217</v>
      </c>
      <c r="E796" t="str">
        <v>ex</v>
      </c>
      <c r="F796" t="str">
        <v>HCM</v>
      </c>
      <c r="G796">
        <v>25</v>
      </c>
      <c r="H796">
        <v>1</v>
      </c>
      <c r="K796">
        <f>J796+H796-I796</f>
        <v>1</v>
      </c>
      <c r="L796">
        <f>G796*K796</f>
        <v>25</v>
      </c>
    </row>
    <row r="797">
      <c r="B797" t="str">
        <v>pokemon</v>
      </c>
      <c r="C797" t="str">
        <v>OKIDOGI</v>
      </c>
      <c r="D797" t="str">
        <v>SFA 036/064</v>
      </c>
      <c r="E797" t="str">
        <v>ex</v>
      </c>
      <c r="F797" t="str">
        <v>HCM</v>
      </c>
      <c r="G797">
        <v>25</v>
      </c>
      <c r="H797">
        <v>1</v>
      </c>
      <c r="K797">
        <f>J797+H797-I797</f>
        <v>1</v>
      </c>
      <c r="L797">
        <f>G797*K797</f>
        <v>25</v>
      </c>
    </row>
    <row r="798">
      <c r="B798" t="str">
        <v>suppoter</v>
      </c>
      <c r="C798" t="str">
        <v>LONO</v>
      </c>
      <c r="D798" t="str">
        <v>PAL 185/193</v>
      </c>
      <c r="E798" t="str">
        <v>normal</v>
      </c>
      <c r="F798" t="str">
        <v>HCM</v>
      </c>
      <c r="G798">
        <v>5</v>
      </c>
      <c r="H798">
        <v>2</v>
      </c>
      <c r="K798">
        <f>J798+H798-I798</f>
        <v>2</v>
      </c>
      <c r="L798">
        <f>G798*K798</f>
        <v>10</v>
      </c>
    </row>
    <row r="799">
      <c r="A799" t="str">
        <v>PO-Y-21A</v>
      </c>
      <c r="B799" t="str">
        <v>pokemon</v>
      </c>
      <c r="C799" t="str">
        <v>LONO'S KILOWATTREL</v>
      </c>
      <c r="D799" t="str">
        <v>ASC 072/217</v>
      </c>
      <c r="E799" t="str">
        <v>holo</v>
      </c>
      <c r="F799" t="str">
        <v>HCM</v>
      </c>
      <c r="G799">
        <v>4</v>
      </c>
      <c r="H799">
        <v>9</v>
      </c>
      <c r="K799">
        <f>J799+H799-I799</f>
        <v>9</v>
      </c>
      <c r="L799">
        <f>G799*K799</f>
        <v>36</v>
      </c>
    </row>
    <row r="800">
      <c r="A800" t="str">
        <v>PC-PO-014</v>
      </c>
      <c r="B800" t="str">
        <v>pokemon</v>
      </c>
      <c r="C800" t="str">
        <v>LONO'S KILOWATTREL</v>
      </c>
      <c r="D800" t="str">
        <v>JTG 055/159</v>
      </c>
      <c r="E800" t="str">
        <v>prize card</v>
      </c>
      <c r="F800" t="str">
        <v>HCM</v>
      </c>
      <c r="G800">
        <v>8</v>
      </c>
      <c r="H800">
        <v>2</v>
      </c>
      <c r="K800">
        <f>J800+H800-I800</f>
        <v>2</v>
      </c>
      <c r="L800">
        <f>G800*K800</f>
        <v>16</v>
      </c>
    </row>
    <row r="801">
      <c r="A801" t="str">
        <v>PC-PO-007</v>
      </c>
      <c r="B801" t="str">
        <v>pokemon</v>
      </c>
      <c r="C801" t="str">
        <v>Terapagos</v>
      </c>
      <c r="D801" t="str">
        <v>SSP 161/191</v>
      </c>
      <c r="E801" t="str">
        <v>prize card</v>
      </c>
      <c r="F801" t="str">
        <v>HCM</v>
      </c>
      <c r="G801">
        <v>8</v>
      </c>
      <c r="H801">
        <v>4</v>
      </c>
      <c r="K801">
        <f>J801+H801-I801</f>
        <v>4</v>
      </c>
      <c r="L801">
        <f>G801*K801</f>
        <v>32</v>
      </c>
    </row>
    <row r="802">
      <c r="A802" t="str">
        <v>PC-PO-018</v>
      </c>
      <c r="B802" t="str">
        <v>pokemon</v>
      </c>
      <c r="C802" t="str">
        <v>Cinderace</v>
      </c>
      <c r="D802" t="str">
        <v>MEG 028/132</v>
      </c>
      <c r="E802" t="str">
        <v>prize card</v>
      </c>
      <c r="F802" t="str">
        <v>HCM</v>
      </c>
      <c r="G802">
        <v>8</v>
      </c>
      <c r="H802">
        <v>1</v>
      </c>
      <c r="K802">
        <f>J802+H802-I802</f>
        <v>1</v>
      </c>
      <c r="L802">
        <f>G802*K802</f>
        <v>8</v>
      </c>
    </row>
    <row r="803">
      <c r="A803" t="str">
        <v>PO-R-06</v>
      </c>
      <c r="B803" t="str">
        <v>pokemon</v>
      </c>
      <c r="C803" t="str">
        <v>Cinderace</v>
      </c>
      <c r="D803" t="str">
        <v>MEG 028/132</v>
      </c>
      <c r="E803" t="str">
        <v>normal</v>
      </c>
      <c r="F803" t="str">
        <v>HCM</v>
      </c>
      <c r="G803">
        <v>3</v>
      </c>
      <c r="H803">
        <v>5</v>
      </c>
      <c r="K803">
        <f>J803+H803-I803</f>
        <v>5</v>
      </c>
      <c r="L803">
        <f>G803*K803</f>
        <v>15</v>
      </c>
    </row>
    <row r="804">
      <c r="A804" t="str">
        <v>PO-P-10</v>
      </c>
      <c r="B804" t="str">
        <v>pokemon</v>
      </c>
      <c r="C804" t="str">
        <v>FARIGIRAF</v>
      </c>
      <c r="D804" t="str">
        <v>TWM 084/167</v>
      </c>
      <c r="E804" t="str">
        <v>holo</v>
      </c>
      <c r="F804" t="str">
        <v>HCM</v>
      </c>
      <c r="G804">
        <v>4</v>
      </c>
      <c r="H804">
        <v>1</v>
      </c>
      <c r="K804">
        <f>J804+H804-I804</f>
        <v>1</v>
      </c>
      <c r="L804">
        <f>G804*K804</f>
        <v>4</v>
      </c>
    </row>
    <row r="805">
      <c r="A805" t="str">
        <v>PC-PO-037</v>
      </c>
      <c r="B805" t="str">
        <v>pokemon</v>
      </c>
      <c r="C805" t="str">
        <v>LILLIE'S RIBOMBEE</v>
      </c>
      <c r="D805" t="str">
        <v>JTG 067/159</v>
      </c>
      <c r="E805" t="str">
        <v>holo prize card</v>
      </c>
      <c r="F805" t="str">
        <v>HCM</v>
      </c>
      <c r="G805">
        <v>8</v>
      </c>
      <c r="H805">
        <v>1</v>
      </c>
      <c r="K805">
        <f>J805+H805-I805</f>
        <v>1</v>
      </c>
      <c r="L805">
        <f>G805*K805</f>
        <v>8</v>
      </c>
    </row>
    <row r="806">
      <c r="B806" t="str">
        <v>pokemon</v>
      </c>
      <c r="C806" t="str">
        <v>HOP'S DUBWOOL</v>
      </c>
      <c r="D806" t="str">
        <v>JTG 136/159</v>
      </c>
      <c r="E806" t="str">
        <v>prize card</v>
      </c>
      <c r="F806" t="str">
        <v>HCM</v>
      </c>
      <c r="G806">
        <v>6</v>
      </c>
      <c r="H806">
        <v>4</v>
      </c>
      <c r="K806">
        <f>J806+H806-I806</f>
        <v>4</v>
      </c>
      <c r="L806">
        <f>G806*K806</f>
        <v>24</v>
      </c>
    </row>
    <row r="807">
      <c r="A807" t="str">
        <v>PO-P-31</v>
      </c>
      <c r="B807" t="str">
        <v>pokemon</v>
      </c>
      <c r="C807" t="str">
        <v xml:space="preserve">HOP'S PHANTUMP </v>
      </c>
      <c r="D807" t="str">
        <v>ASC 95/217</v>
      </c>
      <c r="E807" t="str">
        <v>normal</v>
      </c>
      <c r="F807" t="str">
        <v>HCM</v>
      </c>
      <c r="G807">
        <v>3</v>
      </c>
      <c r="H807">
        <v>8</v>
      </c>
      <c r="K807">
        <f>J807+H807-I807</f>
        <v>8</v>
      </c>
      <c r="L807">
        <f>G807*K807</f>
        <v>24</v>
      </c>
    </row>
    <row r="808">
      <c r="A808" t="str">
        <v>PO-P-26</v>
      </c>
      <c r="B808" t="str">
        <v>pokemon</v>
      </c>
      <c r="C808" t="str">
        <v>HOP'S TREVENANT</v>
      </c>
      <c r="D808" t="str">
        <v>ASC EN 096/217</v>
      </c>
      <c r="E808" t="str">
        <v>normal</v>
      </c>
      <c r="F808" t="str">
        <v>HCM</v>
      </c>
      <c r="G808">
        <v>5</v>
      </c>
      <c r="H808">
        <v>6</v>
      </c>
      <c r="K808">
        <f>J808+H808-I808</f>
        <v>6</v>
      </c>
      <c r="L808">
        <f>G808*K808</f>
        <v>30</v>
      </c>
    </row>
    <row r="809">
      <c r="B809" t="str">
        <v>pokemon</v>
      </c>
      <c r="C809" t="str">
        <v>METANG</v>
      </c>
      <c r="D809" t="str">
        <v>TEF 114/162</v>
      </c>
      <c r="E809" t="str">
        <v>prize card</v>
      </c>
      <c r="F809" t="str">
        <v>HCM</v>
      </c>
      <c r="G809">
        <v>6</v>
      </c>
      <c r="H809">
        <v>3</v>
      </c>
      <c r="K809">
        <f>J809+H809-I809</f>
        <v>3</v>
      </c>
      <c r="L809">
        <f>G809*K809</f>
        <v>18</v>
      </c>
    </row>
    <row r="810">
      <c r="B810" t="str">
        <v>pokemon</v>
      </c>
      <c r="C810" t="str">
        <v>ÌNERNAPE</v>
      </c>
      <c r="D810" t="str">
        <v>TWM 033/167</v>
      </c>
      <c r="E810" t="str">
        <v>prize card</v>
      </c>
      <c r="F810" t="str">
        <v>HCM</v>
      </c>
      <c r="G810">
        <v>6</v>
      </c>
      <c r="H810">
        <v>3</v>
      </c>
      <c r="K810">
        <f>J810+H810-I810</f>
        <v>3</v>
      </c>
      <c r="L810">
        <f>G810*K810</f>
        <v>18</v>
      </c>
    </row>
    <row r="811">
      <c r="A811" t="str">
        <v>PC-PO-032</v>
      </c>
      <c r="B811" t="str">
        <v>pokemon</v>
      </c>
      <c r="C811" t="str">
        <v>ROARING MOON</v>
      </c>
      <c r="D811" t="str">
        <v>TEF EN 109/162</v>
      </c>
      <c r="E811" t="str">
        <v>prize card</v>
      </c>
      <c r="F811" t="str">
        <v>HCM</v>
      </c>
      <c r="G811">
        <v>6</v>
      </c>
      <c r="H811">
        <v>6</v>
      </c>
      <c r="K811">
        <f>J811+H811-I811</f>
        <v>6</v>
      </c>
      <c r="L811">
        <f>G811*K811</f>
        <v>36</v>
      </c>
    </row>
    <row r="812">
      <c r="A812" t="str">
        <v>PO-DB-16</v>
      </c>
      <c r="B812" t="str">
        <v>pokemon</v>
      </c>
      <c r="C812" t="str">
        <v>ROARING MOON</v>
      </c>
      <c r="D812" t="str">
        <v>TEF EN 109/162</v>
      </c>
      <c r="E812" t="str">
        <v>holo</v>
      </c>
      <c r="F812" t="str">
        <v>HCM</v>
      </c>
      <c r="G812">
        <v>4</v>
      </c>
      <c r="H812">
        <v>2</v>
      </c>
      <c r="K812">
        <f>J812+H812-I812</f>
        <v>2</v>
      </c>
      <c r="L812">
        <f>G812*K812</f>
        <v>8</v>
      </c>
    </row>
    <row r="813">
      <c r="A813" t="str">
        <v>PO-DB-16</v>
      </c>
      <c r="B813" t="str">
        <v>pokemon</v>
      </c>
      <c r="C813" t="str">
        <v>ROARING MOON</v>
      </c>
      <c r="D813" t="str">
        <v>PRE EN 065/131</v>
      </c>
      <c r="E813" t="str">
        <v>holo</v>
      </c>
      <c r="F813" t="str">
        <v>HCM</v>
      </c>
      <c r="G813">
        <v>4</v>
      </c>
      <c r="H813">
        <v>3</v>
      </c>
      <c r="K813">
        <f>J813+H813-I813</f>
        <v>3</v>
      </c>
      <c r="L813">
        <f>G813*K813</f>
        <v>12</v>
      </c>
    </row>
    <row r="814">
      <c r="A814" t="str">
        <v>PC-PO-026</v>
      </c>
      <c r="B814" t="str">
        <v>pokemon</v>
      </c>
      <c r="C814" t="str">
        <v>Galvantula</v>
      </c>
      <c r="D814" t="str">
        <v>SFA EN 002/064</v>
      </c>
      <c r="E814" t="str">
        <v>prize card</v>
      </c>
      <c r="F814" t="str">
        <v>HCM</v>
      </c>
      <c r="G814">
        <v>10</v>
      </c>
      <c r="H814">
        <v>2</v>
      </c>
      <c r="K814">
        <f>J814+H814-I814</f>
        <v>2</v>
      </c>
      <c r="L814">
        <f>G814*K814</f>
        <v>20</v>
      </c>
    </row>
    <row r="815">
      <c r="A815" t="str">
        <v>PO-G-12</v>
      </c>
      <c r="B815" t="str">
        <v>pokemon</v>
      </c>
      <c r="C815" t="str">
        <v>Galvantula</v>
      </c>
      <c r="D815" t="str">
        <v>SFA EN 002/064</v>
      </c>
      <c r="E815" t="str">
        <v>normal</v>
      </c>
      <c r="F815" t="str">
        <v>HCM</v>
      </c>
      <c r="G815">
        <v>4</v>
      </c>
      <c r="H815">
        <v>1</v>
      </c>
      <c r="K815">
        <f>J815+H815-I815</f>
        <v>1</v>
      </c>
      <c r="L815">
        <f>G815*K815</f>
        <v>4</v>
      </c>
    </row>
    <row r="816">
      <c r="A816" t="str">
        <v>EX-Y-02</v>
      </c>
      <c r="B816" t="str">
        <v>pokemon</v>
      </c>
      <c r="C816" t="str">
        <v>Galvantula</v>
      </c>
      <c r="D816" t="str">
        <v>SCR 051/142</v>
      </c>
      <c r="E816" t="str">
        <v>ex</v>
      </c>
      <c r="F816" t="str">
        <v>HCM</v>
      </c>
      <c r="G816">
        <v>25</v>
      </c>
      <c r="H816">
        <v>1</v>
      </c>
      <c r="K816">
        <f>J816+H816-I816</f>
        <v>1</v>
      </c>
      <c r="L816">
        <f>G816*K816</f>
        <v>25</v>
      </c>
    </row>
    <row r="817">
      <c r="A817" t="str">
        <v>PC-PO-038</v>
      </c>
      <c r="B817" t="str">
        <v>pokemon</v>
      </c>
      <c r="C817" t="str">
        <v>Xatu</v>
      </c>
      <c r="D817" t="str">
        <v>PAR EN 072/182</v>
      </c>
      <c r="E817" t="str">
        <v>prize card</v>
      </c>
      <c r="F817" t="str">
        <v>HCM</v>
      </c>
      <c r="G817">
        <v>7</v>
      </c>
      <c r="H817">
        <v>2</v>
      </c>
      <c r="K817">
        <f>J817+H817-I817</f>
        <v>2</v>
      </c>
      <c r="L817">
        <f>G817*K817</f>
        <v>14</v>
      </c>
    </row>
    <row r="818">
      <c r="A818" t="str">
        <v>PC-PO-024</v>
      </c>
      <c r="B818" t="str">
        <v>pokemon</v>
      </c>
      <c r="C818" t="str">
        <v>ENTHAN'S TYPHLOSION</v>
      </c>
      <c r="D818" t="str">
        <v>DRI EN 034/182</v>
      </c>
      <c r="E818" t="str">
        <v>prize card</v>
      </c>
      <c r="F818" t="str">
        <v>HCM</v>
      </c>
      <c r="G818">
        <v>10</v>
      </c>
      <c r="H818">
        <v>1</v>
      </c>
      <c r="K818">
        <f>J818+H818-I818</f>
        <v>1</v>
      </c>
      <c r="L818">
        <f>G818*K818</f>
        <v>10</v>
      </c>
    </row>
    <row r="819">
      <c r="A819" t="str">
        <v>PO-R-21</v>
      </c>
      <c r="B819" t="str">
        <v>pokemon</v>
      </c>
      <c r="C819" t="str">
        <v>ENTHAN'S TYPHLOSION</v>
      </c>
      <c r="D819" t="str">
        <v>DRI EN 034/182</v>
      </c>
      <c r="E819" t="str">
        <v>normal</v>
      </c>
      <c r="F819" t="str">
        <v>HCM</v>
      </c>
      <c r="G819">
        <v>4</v>
      </c>
      <c r="H819">
        <v>13</v>
      </c>
      <c r="K819">
        <f>J819+H819-I819</f>
        <v>13</v>
      </c>
      <c r="L819">
        <f>G819*K819</f>
        <v>52</v>
      </c>
    </row>
    <row r="820">
      <c r="A820" t="str">
        <v>PO-R-21</v>
      </c>
      <c r="B820" t="str">
        <v>pokemon</v>
      </c>
      <c r="C820" t="str">
        <v>ENTHAN'S TYPHLOSION</v>
      </c>
      <c r="D820" t="str">
        <v>DRI EN 034/182</v>
      </c>
      <c r="E820" t="str">
        <v>holo</v>
      </c>
      <c r="F820" t="str">
        <v>HCM</v>
      </c>
      <c r="G820">
        <v>5</v>
      </c>
      <c r="H820">
        <v>1</v>
      </c>
      <c r="K820">
        <f>J820+H820-I820</f>
        <v>1</v>
      </c>
      <c r="L820">
        <f>G820*K820</f>
        <v>5</v>
      </c>
    </row>
    <row r="821">
      <c r="A821" t="str">
        <v>PC-PO-029</v>
      </c>
      <c r="B821" t="str">
        <v>pokemon</v>
      </c>
      <c r="C821" t="str">
        <v>RABSCA</v>
      </c>
      <c r="D821" t="str">
        <v>TEF EN 024/162</v>
      </c>
      <c r="E821" t="str">
        <v>prize card</v>
      </c>
      <c r="F821" t="str">
        <v>HCM</v>
      </c>
      <c r="G821">
        <v>7</v>
      </c>
      <c r="H821">
        <v>2</v>
      </c>
      <c r="K821">
        <f>J821+H821-I821</f>
        <v>2</v>
      </c>
      <c r="L821">
        <f>G821*K821</f>
        <v>14</v>
      </c>
    </row>
    <row r="822">
      <c r="A822" t="str">
        <v>PO-G-26</v>
      </c>
      <c r="B822" t="str">
        <v>pokemon</v>
      </c>
      <c r="C822" t="str">
        <v>RABSCA</v>
      </c>
      <c r="D822" t="str">
        <v>TEF EN 024/162</v>
      </c>
      <c r="E822" t="str">
        <v>normal</v>
      </c>
      <c r="F822" t="str">
        <v>HCM</v>
      </c>
      <c r="G822">
        <v>3</v>
      </c>
      <c r="H822">
        <v>1</v>
      </c>
      <c r="K822">
        <f>J822+H822-I822</f>
        <v>1</v>
      </c>
      <c r="L822">
        <f>G822*K822</f>
        <v>3</v>
      </c>
    </row>
    <row r="823">
      <c r="A823" t="str">
        <v>PC-EX-01</v>
      </c>
      <c r="B823" t="str">
        <v>pokemon</v>
      </c>
      <c r="C823" t="str">
        <v>IRON HANDS</v>
      </c>
      <c r="D823" t="str">
        <v>PAR EN 070/182</v>
      </c>
      <c r="E823" t="str">
        <v>ex prize card</v>
      </c>
      <c r="F823" t="str">
        <v>HCM</v>
      </c>
      <c r="G823">
        <v>80</v>
      </c>
      <c r="H823">
        <v>2</v>
      </c>
      <c r="K823">
        <f>J823+H823-I823</f>
        <v>2</v>
      </c>
      <c r="L823">
        <f>G823*K823</f>
        <v>160</v>
      </c>
    </row>
    <row r="824">
      <c r="A824" t="str">
        <v>PC-EX-02</v>
      </c>
      <c r="B824" t="str">
        <v>pokemon</v>
      </c>
      <c r="C824" t="str">
        <v>GHOLDENGO EX</v>
      </c>
      <c r="D824" t="str">
        <v>PAR EN 139/182</v>
      </c>
      <c r="E824" t="str">
        <v>ex prize card</v>
      </c>
      <c r="F824" t="str">
        <v>HCM</v>
      </c>
      <c r="G824">
        <v>80</v>
      </c>
      <c r="H824">
        <v>1</v>
      </c>
      <c r="K824">
        <f>J824+H824-I824</f>
        <v>1</v>
      </c>
      <c r="L824">
        <f>G824*K824</f>
        <v>80</v>
      </c>
    </row>
    <row r="825">
      <c r="A825" t="str">
        <v>PC-EX-04</v>
      </c>
      <c r="B825" t="str">
        <v>pokemon</v>
      </c>
      <c r="C825" t="str">
        <v>PIKACHU</v>
      </c>
      <c r="D825" t="str">
        <v>SSP 057/191</v>
      </c>
      <c r="E825" t="str">
        <v>ex prize card</v>
      </c>
      <c r="F825" t="str">
        <v>HCM</v>
      </c>
      <c r="G825">
        <v>200</v>
      </c>
      <c r="H825">
        <v>1</v>
      </c>
      <c r="K825">
        <f>J825+H825-I825</f>
        <v>1</v>
      </c>
    </row>
    <row r="826">
      <c r="A826" t="str">
        <v>PC-EX-05</v>
      </c>
      <c r="B826" t="str">
        <v>pokemon</v>
      </c>
      <c r="C826" t="str">
        <v>Terapagos</v>
      </c>
      <c r="D826" t="str">
        <v>SCR 128/142</v>
      </c>
      <c r="E826" t="str">
        <v>ex prize card</v>
      </c>
      <c r="F826" t="str">
        <v>HCM</v>
      </c>
      <c r="G826">
        <v>80</v>
      </c>
      <c r="H826">
        <v>1</v>
      </c>
      <c r="K826">
        <f>J826+H826-I826</f>
        <v>1</v>
      </c>
    </row>
    <row r="827">
      <c r="A827" t="str">
        <v>EX-Y-03</v>
      </c>
      <c r="B827" t="str">
        <v>pokemon</v>
      </c>
      <c r="C827" t="str">
        <v>GHOLDENGO EX</v>
      </c>
      <c r="D827" t="str">
        <v>PAR EN 139/182</v>
      </c>
      <c r="E827" t="str">
        <v>ex</v>
      </c>
      <c r="F827" t="str">
        <v>HCM</v>
      </c>
      <c r="G827">
        <v>80</v>
      </c>
      <c r="H827">
        <v>1</v>
      </c>
      <c r="K827">
        <f>J827+H827-I827</f>
        <v>1</v>
      </c>
      <c r="L827">
        <f>G827*K827</f>
        <v>80</v>
      </c>
    </row>
    <row r="828">
      <c r="A828" t="str">
        <v>PC-IT-06</v>
      </c>
      <c r="B828" t="str">
        <v>item</v>
      </c>
      <c r="C828" t="str">
        <v>NEST BALL</v>
      </c>
      <c r="D828" t="str">
        <v>SVI EN 181/198</v>
      </c>
      <c r="E828" t="str">
        <v>holo prize card</v>
      </c>
      <c r="F828" t="str">
        <v>HCM</v>
      </c>
      <c r="G828">
        <v>10</v>
      </c>
      <c r="H828">
        <v>1</v>
      </c>
      <c r="K828">
        <f>J828+H828-I828</f>
        <v>1</v>
      </c>
      <c r="L828">
        <f>G828*K828</f>
        <v>10</v>
      </c>
    </row>
    <row r="829">
      <c r="A829" t="str">
        <v>PC-SUP-009</v>
      </c>
      <c r="B829" t="str">
        <v>suppoter</v>
      </c>
      <c r="C829" t="str">
        <v>ATTICUS</v>
      </c>
      <c r="D829" t="str">
        <v>PAF 077/091</v>
      </c>
      <c r="E829" t="str">
        <v>prize card</v>
      </c>
      <c r="F829" t="str">
        <v>HCM</v>
      </c>
      <c r="G829">
        <v>7</v>
      </c>
      <c r="H829">
        <v>1</v>
      </c>
      <c r="K829">
        <f>J829+H829-I829</f>
        <v>1</v>
      </c>
      <c r="L829">
        <f>G829*K829</f>
        <v>7</v>
      </c>
    </row>
    <row r="830">
      <c r="A830" t="str">
        <v>PC-SUP-002</v>
      </c>
      <c r="B830" t="str">
        <v>suppoter</v>
      </c>
      <c r="C830" t="str">
        <v>MELA</v>
      </c>
      <c r="D830" t="str">
        <v>PAR 167/182</v>
      </c>
      <c r="E830" t="str">
        <v>prize card</v>
      </c>
      <c r="F830" t="str">
        <v>HCM</v>
      </c>
      <c r="G830">
        <v>7</v>
      </c>
      <c r="H830">
        <v>1</v>
      </c>
      <c r="K830">
        <f>J830+H830-I830</f>
        <v>1</v>
      </c>
      <c r="L830">
        <f>G830*K830</f>
        <v>7</v>
      </c>
    </row>
    <row r="831">
      <c r="A831" t="str">
        <v>PC-IT-11</v>
      </c>
      <c r="B831" t="str">
        <v>item</v>
      </c>
      <c r="C831" t="str">
        <v>SWITCH</v>
      </c>
      <c r="D831" t="str">
        <v>SVI 194/198</v>
      </c>
      <c r="E831" t="str">
        <v>holo prize card</v>
      </c>
      <c r="F831" t="str">
        <v>HCM</v>
      </c>
      <c r="G831">
        <v>12</v>
      </c>
      <c r="H831">
        <v>1</v>
      </c>
      <c r="K831">
        <f>J831+H831-I831</f>
        <v>1</v>
      </c>
      <c r="L831">
        <f>G831*K831</f>
        <v>12</v>
      </c>
    </row>
    <row r="832">
      <c r="A832" t="str">
        <v>PC-PO-019</v>
      </c>
      <c r="B832" t="str">
        <v>pokemon</v>
      </c>
      <c r="C832" t="str">
        <v>EMBOAR</v>
      </c>
      <c r="D832" t="str">
        <v>WHT EN 013/086</v>
      </c>
      <c r="E832" t="str">
        <v>prize card</v>
      </c>
      <c r="F832" t="str">
        <v>HCM</v>
      </c>
      <c r="G832">
        <v>7</v>
      </c>
      <c r="H832">
        <v>1</v>
      </c>
      <c r="K832">
        <f>J832+H832-I832</f>
        <v>1</v>
      </c>
      <c r="L832">
        <f>G832*K832</f>
        <v>7</v>
      </c>
    </row>
    <row r="833">
      <c r="A833" t="str">
        <v>PO-R-13</v>
      </c>
      <c r="B833" t="str">
        <v>pokemon</v>
      </c>
      <c r="C833" t="str">
        <v>EMBOAR</v>
      </c>
      <c r="D833" t="str">
        <v>WHT EN 013/086</v>
      </c>
      <c r="E833" t="str">
        <v>ball</v>
      </c>
      <c r="F833" t="str">
        <v>HCM</v>
      </c>
      <c r="G833">
        <v>6</v>
      </c>
      <c r="H833">
        <v>1</v>
      </c>
      <c r="K833">
        <f>J833+H833-I833</f>
        <v>1</v>
      </c>
      <c r="L833">
        <f>G833*K833</f>
        <v>6</v>
      </c>
    </row>
    <row r="834">
      <c r="A834" t="str">
        <v>PO-R-13</v>
      </c>
      <c r="B834" t="str">
        <v>pokemon</v>
      </c>
      <c r="C834" t="str">
        <v>EMBOAR</v>
      </c>
      <c r="D834" t="str">
        <v>WHT EN 013/086</v>
      </c>
      <c r="E834" t="str">
        <v>holo</v>
      </c>
      <c r="F834" t="str">
        <v>HCM</v>
      </c>
      <c r="G834">
        <v>3</v>
      </c>
      <c r="H834">
        <v>2</v>
      </c>
      <c r="K834">
        <f>J834+H834-I834</f>
        <v>2</v>
      </c>
      <c r="L834">
        <f>G834*K834</f>
        <v>6</v>
      </c>
    </row>
    <row r="835">
      <c r="A835" t="str">
        <v>PC-PO-009</v>
      </c>
      <c r="B835" t="str">
        <v>pokemon</v>
      </c>
      <c r="C835" t="str">
        <v>LATIOUS</v>
      </c>
      <c r="D835" t="str">
        <v>MEG EN 101/132</v>
      </c>
      <c r="E835" t="str">
        <v>prize card</v>
      </c>
      <c r="F835" t="str">
        <v>HCM</v>
      </c>
      <c r="G835">
        <v>7</v>
      </c>
      <c r="H835">
        <v>1</v>
      </c>
      <c r="K835">
        <f>J835+H835-I835</f>
        <v>1</v>
      </c>
      <c r="L835">
        <f>G835*K835</f>
        <v>7</v>
      </c>
    </row>
    <row r="836">
      <c r="A836" t="str">
        <v>PC-PO-009A</v>
      </c>
      <c r="B836" t="str">
        <v>pokemon</v>
      </c>
      <c r="C836" t="str">
        <v>DRAKLOAK</v>
      </c>
      <c r="D836" t="str">
        <v>TWM 129/167</v>
      </c>
      <c r="E836" t="str">
        <v>holo prize card</v>
      </c>
      <c r="F836" t="str">
        <v>HCM</v>
      </c>
      <c r="G836">
        <v>20</v>
      </c>
      <c r="H836">
        <v>4</v>
      </c>
      <c r="K836">
        <f>J836+H836-I836</f>
        <v>4</v>
      </c>
    </row>
    <row r="837">
      <c r="A837" t="str">
        <v>PC-EX-03</v>
      </c>
      <c r="B837" t="str">
        <v>pokemon</v>
      </c>
      <c r="C837" t="str">
        <v>SANDY SHOCKS</v>
      </c>
      <c r="D837" t="str">
        <v>PAR EN 108/182</v>
      </c>
      <c r="E837" t="str">
        <v>ex prize card</v>
      </c>
      <c r="F837" t="str">
        <v>HCM</v>
      </c>
      <c r="G837">
        <v>55</v>
      </c>
      <c r="H837">
        <v>1</v>
      </c>
      <c r="K837">
        <f>J837+H837-I837</f>
        <v>1</v>
      </c>
      <c r="L837">
        <f>G837*K837</f>
        <v>55</v>
      </c>
    </row>
    <row r="838">
      <c r="A838" t="str">
        <v>PO-LB-03</v>
      </c>
      <c r="B838" t="str">
        <v>pokemon</v>
      </c>
      <c r="C838" t="str">
        <v>FEEBAS</v>
      </c>
      <c r="D838" t="str">
        <v>SSP 041/191</v>
      </c>
      <c r="E838" t="str">
        <v>normal</v>
      </c>
      <c r="F838" t="str">
        <v>HCM</v>
      </c>
      <c r="G838">
        <v>2</v>
      </c>
      <c r="H838">
        <v>1</v>
      </c>
      <c r="K838">
        <f>J838+H838-I838</f>
        <v>1</v>
      </c>
      <c r="L838">
        <f>G838*K838</f>
        <v>2</v>
      </c>
    </row>
    <row r="839">
      <c r="A839" t="str">
        <v>PO-LB-11</v>
      </c>
      <c r="B839" t="str">
        <v>pokemon</v>
      </c>
      <c r="C839" t="str">
        <v>PILOSWINE</v>
      </c>
      <c r="D839" t="str">
        <v>PEL EN 024/094</v>
      </c>
      <c r="E839" t="str">
        <v>normal</v>
      </c>
      <c r="F839" t="str">
        <v>HCM</v>
      </c>
      <c r="G839">
        <v>2</v>
      </c>
      <c r="H839">
        <v>1</v>
      </c>
      <c r="K839">
        <f>J839+H839-I839</f>
        <v>1</v>
      </c>
      <c r="L839">
        <f>G839*K839</f>
        <v>2</v>
      </c>
    </row>
    <row r="840">
      <c r="A840" t="str">
        <v>PO-LB-15</v>
      </c>
      <c r="B840" t="str">
        <v>pokemon</v>
      </c>
      <c r="C840" t="str">
        <v>SWINUB</v>
      </c>
      <c r="D840" t="str">
        <v>PEL EN 024/094</v>
      </c>
      <c r="E840" t="str">
        <v>normal</v>
      </c>
      <c r="F840" t="str">
        <v>HCM</v>
      </c>
      <c r="G840">
        <v>3</v>
      </c>
      <c r="H840">
        <v>1</v>
      </c>
      <c r="K840">
        <f>J840+H840-I840</f>
        <v>1</v>
      </c>
      <c r="L840">
        <f>G840*K840</f>
        <v>3</v>
      </c>
    </row>
    <row r="841">
      <c r="A841" t="str">
        <v>PO-LB-15</v>
      </c>
      <c r="B841" t="str">
        <v>pokemon</v>
      </c>
      <c r="C841" t="str">
        <v>SWINUB</v>
      </c>
      <c r="D841" t="str">
        <v>PEL EN 024/094</v>
      </c>
      <c r="E841" t="str">
        <v>holo</v>
      </c>
      <c r="F841" t="str">
        <v>HCM</v>
      </c>
      <c r="G841">
        <v>4</v>
      </c>
      <c r="H841">
        <v>1</v>
      </c>
      <c r="K841">
        <f>J841+H841-I841</f>
        <v>1</v>
      </c>
      <c r="L841">
        <f>G841*K841</f>
        <v>4</v>
      </c>
    </row>
    <row r="842">
      <c r="A842" t="str">
        <v>PO-LB-16</v>
      </c>
      <c r="B842" t="str">
        <v>pokemon</v>
      </c>
      <c r="C842" t="str">
        <v>SNORUNT</v>
      </c>
      <c r="D842" t="str">
        <v>ASC EN 046/217</v>
      </c>
      <c r="E842" t="str">
        <v>normal</v>
      </c>
      <c r="F842" t="str">
        <v>HCM</v>
      </c>
      <c r="G842">
        <v>4</v>
      </c>
      <c r="H842">
        <v>6</v>
      </c>
      <c r="K842">
        <f>J842+H842-I842</f>
        <v>6</v>
      </c>
      <c r="L842">
        <f>G842*K842</f>
        <v>24</v>
      </c>
    </row>
    <row r="843">
      <c r="A843" t="str">
        <v>PO-LB-12</v>
      </c>
      <c r="B843" t="str">
        <v>pokemon</v>
      </c>
      <c r="C843" t="str">
        <v>PIPLUP</v>
      </c>
      <c r="D843" t="str">
        <v>PEL EN 027/094</v>
      </c>
      <c r="E843" t="str">
        <v>normal</v>
      </c>
      <c r="F843" t="str">
        <v>HCM</v>
      </c>
      <c r="G843">
        <v>3</v>
      </c>
      <c r="H843">
        <v>3</v>
      </c>
      <c r="K843">
        <f>J843+H843-I843</f>
        <v>3</v>
      </c>
      <c r="L843">
        <f>G843*K843</f>
        <v>9</v>
      </c>
    </row>
    <row r="844">
      <c r="A844" t="str">
        <v>PO-LB-12</v>
      </c>
      <c r="B844" t="str">
        <v>pokemon</v>
      </c>
      <c r="C844" t="str">
        <v>PIPLUP</v>
      </c>
      <c r="D844" t="str">
        <v>PEL EN 027/094</v>
      </c>
      <c r="E844" t="str">
        <v>holo</v>
      </c>
      <c r="F844" t="str">
        <v>HCM</v>
      </c>
      <c r="G844">
        <v>4</v>
      </c>
      <c r="H844">
        <v>2</v>
      </c>
      <c r="K844">
        <f>J844+H844-I844</f>
        <v>2</v>
      </c>
      <c r="L844">
        <f>G844*K844</f>
        <v>8</v>
      </c>
    </row>
    <row r="845">
      <c r="A845" t="str">
        <v>PO-LB-04</v>
      </c>
      <c r="B845" t="str">
        <v>pokemon</v>
      </c>
      <c r="C845" t="str">
        <v>FERALIGATR</v>
      </c>
      <c r="D845" t="str">
        <v>TEF EN 041/162</v>
      </c>
      <c r="E845" t="str">
        <v>holo</v>
      </c>
      <c r="F845" t="str">
        <v>HCM</v>
      </c>
      <c r="G845">
        <v>4</v>
      </c>
      <c r="H845">
        <v>3</v>
      </c>
      <c r="K845">
        <f>J845+H845-I845</f>
        <v>3</v>
      </c>
      <c r="L845">
        <f>G845*K845</f>
        <v>12</v>
      </c>
    </row>
    <row r="846">
      <c r="A846" t="str">
        <v>PO-P-29</v>
      </c>
      <c r="B846" t="str">
        <v>pokemon</v>
      </c>
      <c r="C846" t="str">
        <v>XERNEAS</v>
      </c>
      <c r="D846" t="str">
        <v>MEG EN 064/132</v>
      </c>
      <c r="E846" t="str">
        <v>holo</v>
      </c>
      <c r="F846" t="str">
        <v>HCM</v>
      </c>
      <c r="G846">
        <v>4</v>
      </c>
      <c r="H846">
        <v>1</v>
      </c>
      <c r="K846">
        <f>J846+H846-I846</f>
        <v>1</v>
      </c>
      <c r="L846">
        <f>G846*K846</f>
        <v>4</v>
      </c>
    </row>
    <row r="847">
      <c r="A847" t="str">
        <v>PO-P-12</v>
      </c>
      <c r="B847" t="str">
        <v>pokemon</v>
      </c>
      <c r="C847" t="str">
        <v>FLITTLE</v>
      </c>
      <c r="D847" t="str">
        <v>PAR EN 080/182</v>
      </c>
      <c r="E847" t="str">
        <v>normal</v>
      </c>
      <c r="F847" t="str">
        <v>HCM</v>
      </c>
      <c r="G847">
        <v>2</v>
      </c>
      <c r="H847">
        <v>1</v>
      </c>
      <c r="K847">
        <f>J847+H847-I847</f>
        <v>1</v>
      </c>
      <c r="L847">
        <f>G847*K847</f>
        <v>2</v>
      </c>
    </row>
    <row r="848">
      <c r="A848" t="str">
        <v>PO-P-21</v>
      </c>
      <c r="B848" t="str">
        <v>pokemon</v>
      </c>
      <c r="C848" t="str">
        <v>NATU</v>
      </c>
      <c r="D848" t="str">
        <v>PAR EN 071/182</v>
      </c>
      <c r="E848" t="str">
        <v>normal</v>
      </c>
      <c r="F848" t="str">
        <v>HCM</v>
      </c>
      <c r="G848">
        <v>3</v>
      </c>
      <c r="H848">
        <v>2</v>
      </c>
      <c r="K848">
        <f>J848+H848-I848</f>
        <v>2</v>
      </c>
      <c r="L848">
        <f>G848*K848</f>
        <v>6</v>
      </c>
    </row>
    <row r="849">
      <c r="A849" t="str">
        <v>PO-P-30</v>
      </c>
      <c r="B849" t="str">
        <v>pokemon</v>
      </c>
      <c r="C849" t="str">
        <v>ZACIAN</v>
      </c>
      <c r="D849" t="str">
        <v>PEL EN 045/094</v>
      </c>
      <c r="E849" t="str">
        <v>holo</v>
      </c>
      <c r="F849" t="str">
        <v>HCM</v>
      </c>
      <c r="G849">
        <v>3</v>
      </c>
      <c r="H849">
        <v>1</v>
      </c>
      <c r="K849">
        <f>J849+H849-I849</f>
        <v>1</v>
      </c>
      <c r="L849">
        <f>G849*K849</f>
        <v>3</v>
      </c>
    </row>
    <row r="850">
      <c r="A850" t="str">
        <v>PO-P-28</v>
      </c>
      <c r="B850" t="str">
        <v>pokemon</v>
      </c>
      <c r="C850" t="str">
        <v>XATU</v>
      </c>
      <c r="D850" t="str">
        <v>PAR EN 072/182</v>
      </c>
      <c r="E850" t="str">
        <v>normal</v>
      </c>
      <c r="F850" t="str">
        <v>HCM</v>
      </c>
      <c r="G850">
        <v>3</v>
      </c>
      <c r="H850">
        <v>1</v>
      </c>
      <c r="K850">
        <f>J850+H850-I850</f>
        <v>1</v>
      </c>
      <c r="L850">
        <f>G850*K850</f>
        <v>3</v>
      </c>
    </row>
    <row r="851">
      <c r="A851" t="str">
        <v>PO-P-18</v>
      </c>
      <c r="B851" t="str">
        <v>pokemon</v>
      </c>
      <c r="C851" t="str">
        <v>KIRLIA</v>
      </c>
      <c r="D851" t="str">
        <v>PAF EN 082/091</v>
      </c>
      <c r="E851" t="str">
        <v>normal</v>
      </c>
      <c r="F851" t="str">
        <v>HCM</v>
      </c>
      <c r="G851">
        <v>3</v>
      </c>
      <c r="H851">
        <v>1</v>
      </c>
      <c r="K851">
        <f>J851+H851-I851</f>
        <v>1</v>
      </c>
      <c r="L851">
        <f>G851*K851</f>
        <v>3</v>
      </c>
    </row>
    <row r="852">
      <c r="A852" t="str">
        <v>PO-P-18</v>
      </c>
      <c r="B852" t="str">
        <v>pokemon</v>
      </c>
      <c r="C852" t="str">
        <v>KIRLIA</v>
      </c>
      <c r="D852" t="str">
        <v>MEG EN 059/132</v>
      </c>
      <c r="E852" t="str">
        <v>normal</v>
      </c>
      <c r="F852" t="str">
        <v>HCM</v>
      </c>
      <c r="G852">
        <v>4</v>
      </c>
      <c r="H852">
        <v>4</v>
      </c>
      <c r="K852">
        <f>J852+H852-I852</f>
        <v>4</v>
      </c>
      <c r="L852">
        <f>G852*K852</f>
        <v>16</v>
      </c>
    </row>
    <row r="853">
      <c r="A853" t="str">
        <v>PO-P-18</v>
      </c>
      <c r="B853" t="str">
        <v>pokemon</v>
      </c>
      <c r="C853" t="str">
        <v>KIRLIA</v>
      </c>
      <c r="D853" t="str">
        <v>MEG EN 059/132</v>
      </c>
      <c r="E853" t="str">
        <v>holo</v>
      </c>
      <c r="F853" t="str">
        <v>HCM</v>
      </c>
      <c r="G853">
        <v>5</v>
      </c>
      <c r="H853">
        <v>1</v>
      </c>
      <c r="K853">
        <f>J853+H853-I853</f>
        <v>1</v>
      </c>
      <c r="L853">
        <f>G853*K853</f>
        <v>5</v>
      </c>
    </row>
    <row r="854">
      <c r="A854" t="str">
        <v>PO-P-05</v>
      </c>
      <c r="B854" t="str">
        <v>pokemon</v>
      </c>
      <c r="C854" t="str">
        <v>DRIFLOON</v>
      </c>
      <c r="D854" t="str">
        <v>SVI EN 086/198</v>
      </c>
      <c r="E854" t="str">
        <v>normal</v>
      </c>
      <c r="F854" t="str">
        <v>HCM</v>
      </c>
      <c r="G854">
        <v>4</v>
      </c>
      <c r="H854">
        <v>2</v>
      </c>
      <c r="K854">
        <f>J854+H854-I854</f>
        <v>2</v>
      </c>
      <c r="L854">
        <f>G854*K854</f>
        <v>8</v>
      </c>
    </row>
    <row r="855">
      <c r="A855" t="str">
        <v>PO-P-19A</v>
      </c>
      <c r="B855" t="str">
        <v>pokemon</v>
      </c>
      <c r="C855" t="str">
        <v>TEAM ROCKET'S MIMIKYU</v>
      </c>
      <c r="D855" t="str">
        <v>DRI 087/182</v>
      </c>
      <c r="E855" t="str">
        <v>normal</v>
      </c>
      <c r="F855" t="str">
        <v>HCM</v>
      </c>
      <c r="G855">
        <v>4</v>
      </c>
      <c r="H855">
        <v>1</v>
      </c>
      <c r="K855">
        <f>J855+H855-I855</f>
        <v>1</v>
      </c>
      <c r="L855">
        <f>G855*K855</f>
        <v>4</v>
      </c>
    </row>
    <row r="856">
      <c r="A856" t="str">
        <v>PO-P-19</v>
      </c>
      <c r="B856" t="str">
        <v>pokemon</v>
      </c>
      <c r="C856" t="str">
        <v>MIMIKYU</v>
      </c>
      <c r="D856" t="str">
        <v>PFL EN 042/094</v>
      </c>
      <c r="E856" t="str">
        <v>holo</v>
      </c>
      <c r="F856" t="str">
        <v>HCM</v>
      </c>
      <c r="G856">
        <v>5</v>
      </c>
      <c r="H856">
        <v>1</v>
      </c>
      <c r="K856">
        <f>J856+H856-I856</f>
        <v>1</v>
      </c>
      <c r="L856">
        <f>G856*K856</f>
        <v>5</v>
      </c>
    </row>
    <row r="857">
      <c r="A857" t="str">
        <v>PO-P-04</v>
      </c>
      <c r="B857" t="str">
        <v>pokemon</v>
      </c>
      <c r="C857" t="str">
        <v>CRESSELIA</v>
      </c>
      <c r="D857" t="str">
        <v>PFL EN 039/094</v>
      </c>
      <c r="E857" t="str">
        <v>normal</v>
      </c>
      <c r="F857" t="str">
        <v>HCM</v>
      </c>
      <c r="G857">
        <v>4</v>
      </c>
      <c r="H857">
        <v>2</v>
      </c>
      <c r="K857">
        <f>J857+H857-I857</f>
        <v>2</v>
      </c>
      <c r="L857">
        <f>G857*K857</f>
        <v>8</v>
      </c>
    </row>
    <row r="858">
      <c r="A858" t="str">
        <v>PO-P-27</v>
      </c>
      <c r="B858" t="str">
        <v>pokemon</v>
      </c>
      <c r="C858" t="str">
        <v>RALTS</v>
      </c>
      <c r="D858" t="str">
        <v>MEG EN 058/132</v>
      </c>
      <c r="E858" t="str">
        <v>normal</v>
      </c>
      <c r="F858" t="str">
        <v>HCM</v>
      </c>
      <c r="G858">
        <v>4</v>
      </c>
      <c r="H858">
        <v>4</v>
      </c>
      <c r="K858">
        <f>J858+H858-I858</f>
        <v>4</v>
      </c>
      <c r="L858">
        <f>G858*K858</f>
        <v>16</v>
      </c>
    </row>
    <row r="859">
      <c r="A859" t="str">
        <v>PO-P-27</v>
      </c>
      <c r="B859" t="str">
        <v>pokemon</v>
      </c>
      <c r="C859" t="str">
        <v>RALTS</v>
      </c>
      <c r="D859" t="str">
        <v>PAF EN 027/091</v>
      </c>
      <c r="E859" t="str">
        <v>normal</v>
      </c>
      <c r="F859" t="str">
        <v>HCM</v>
      </c>
      <c r="G859">
        <v>4</v>
      </c>
      <c r="H859">
        <v>2</v>
      </c>
      <c r="K859">
        <f>J859+H859-I859</f>
        <v>2</v>
      </c>
      <c r="L859">
        <f>G859*K859</f>
        <v>8</v>
      </c>
    </row>
    <row r="860">
      <c r="A860" t="str">
        <v>PO-P-23</v>
      </c>
      <c r="B860" t="str">
        <v>pokemon</v>
      </c>
      <c r="C860" t="str">
        <v>SCREAM TAIL</v>
      </c>
      <c r="D860" t="str">
        <v>PRE EN 042/131</v>
      </c>
      <c r="E860" t="str">
        <v>normal</v>
      </c>
      <c r="F860" t="str">
        <v>HCM</v>
      </c>
      <c r="G860">
        <v>4</v>
      </c>
      <c r="H860">
        <v>3</v>
      </c>
      <c r="K860">
        <f>J860+H860-I860</f>
        <v>3</v>
      </c>
      <c r="L860">
        <f>G860*K860</f>
        <v>12</v>
      </c>
    </row>
    <row r="861">
      <c r="A861" t="str">
        <v>PO-P-23</v>
      </c>
      <c r="B861" t="str">
        <v>pokemon</v>
      </c>
      <c r="C861" t="str">
        <v>SCREAM TAIL</v>
      </c>
      <c r="D861" t="str">
        <v>PAR EN 086/182</v>
      </c>
      <c r="E861" t="str">
        <v>normal</v>
      </c>
      <c r="F861" t="str">
        <v>HCM</v>
      </c>
      <c r="G861">
        <v>4</v>
      </c>
      <c r="H861">
        <v>2</v>
      </c>
      <c r="K861">
        <f>J861+H861-I861</f>
        <v>2</v>
      </c>
      <c r="L861">
        <f>G861*K861</f>
        <v>8</v>
      </c>
    </row>
    <row r="862">
      <c r="A862" t="str">
        <v>PO-P-15</v>
      </c>
      <c r="B862" t="str">
        <v>pokemon</v>
      </c>
      <c r="C862" t="str">
        <v>GIMMINGHOUL</v>
      </c>
      <c r="D862" t="str">
        <v>SSP EN 097/191</v>
      </c>
      <c r="E862" t="str">
        <v>normal</v>
      </c>
      <c r="F862" t="str">
        <v>HCM</v>
      </c>
      <c r="G862">
        <v>4</v>
      </c>
      <c r="H862">
        <v>1</v>
      </c>
      <c r="K862">
        <f>J862+H862-I862</f>
        <v>1</v>
      </c>
      <c r="L862">
        <f>G862*K862</f>
        <v>4</v>
      </c>
    </row>
    <row r="863">
      <c r="A863" t="str">
        <v>PO-P-15</v>
      </c>
      <c r="B863" t="str">
        <v>pokemon</v>
      </c>
      <c r="C863" t="str">
        <v>GIMMINGHOUL</v>
      </c>
      <c r="D863" t="str">
        <v>MEG EN 067/132</v>
      </c>
      <c r="E863" t="str">
        <v>normal</v>
      </c>
      <c r="F863" t="str">
        <v>HCM</v>
      </c>
      <c r="G863">
        <v>4</v>
      </c>
      <c r="H863">
        <v>5</v>
      </c>
      <c r="K863">
        <f>J863+H863-I863</f>
        <v>5</v>
      </c>
      <c r="L863">
        <f>G863*K863</f>
        <v>20</v>
      </c>
    </row>
    <row r="864">
      <c r="A864" t="str">
        <v>PO-P-15</v>
      </c>
      <c r="B864" t="str">
        <v>pokemon</v>
      </c>
      <c r="C864" t="str">
        <v>GIMMINGHOUL</v>
      </c>
      <c r="D864" t="str">
        <v>MEG EN 067/132</v>
      </c>
      <c r="E864" t="str">
        <v>holo</v>
      </c>
      <c r="F864" t="str">
        <v>HCM</v>
      </c>
      <c r="G864">
        <v>5</v>
      </c>
      <c r="H864">
        <v>1</v>
      </c>
      <c r="K864">
        <f>J864+H864-I864</f>
        <v>1</v>
      </c>
      <c r="L864">
        <f>G864*K864</f>
        <v>5</v>
      </c>
    </row>
    <row r="865">
      <c r="A865" t="str">
        <v>PO-DB-04</v>
      </c>
      <c r="B865" t="str">
        <v>pokemon</v>
      </c>
      <c r="C865" t="str">
        <v>HAUNTER</v>
      </c>
      <c r="D865" t="str">
        <v>PEL EN 055/094</v>
      </c>
      <c r="E865" t="str">
        <v>normal</v>
      </c>
      <c r="F865" t="str">
        <v>HCM</v>
      </c>
      <c r="G865">
        <v>4</v>
      </c>
      <c r="H865">
        <v>7</v>
      </c>
      <c r="K865">
        <f>J865+H865-I865</f>
        <v>7</v>
      </c>
      <c r="L865">
        <f>G865*K865</f>
        <v>28</v>
      </c>
    </row>
    <row r="866">
      <c r="A866" t="str">
        <v>PO-DB-02</v>
      </c>
      <c r="B866" t="str">
        <v>pokemon</v>
      </c>
      <c r="C866" t="str">
        <v>ETERNATUS</v>
      </c>
      <c r="D866" t="str">
        <v>PEL EN 069/094</v>
      </c>
      <c r="E866" t="str">
        <v>normal</v>
      </c>
      <c r="F866" t="str">
        <v>HCM</v>
      </c>
      <c r="G866">
        <v>4</v>
      </c>
      <c r="H866">
        <v>1</v>
      </c>
      <c r="K866">
        <f>J866+H866-I866</f>
        <v>1</v>
      </c>
      <c r="L866">
        <f>G866*K866</f>
        <v>4</v>
      </c>
    </row>
    <row r="867">
      <c r="A867" t="str">
        <v>PO-DB-11</v>
      </c>
      <c r="B867" t="str">
        <v>pokemon</v>
      </c>
      <c r="C867" t="str">
        <v>PERCHARUNT</v>
      </c>
      <c r="D867" t="str">
        <v>ASC EN 143/217</v>
      </c>
      <c r="E867" t="str">
        <v>holo</v>
      </c>
      <c r="F867" t="str">
        <v>HCM</v>
      </c>
      <c r="G867">
        <v>5</v>
      </c>
      <c r="H867">
        <v>1</v>
      </c>
      <c r="K867">
        <f>J867+H867-I867</f>
        <v>1</v>
      </c>
      <c r="L867">
        <f>G867*K867</f>
        <v>5</v>
      </c>
    </row>
    <row r="868">
      <c r="A868" t="str">
        <v>PO-DB-06</v>
      </c>
      <c r="B868" t="str">
        <v>pokemon</v>
      </c>
      <c r="C868" t="str">
        <v>KROOKODILE</v>
      </c>
      <c r="D868" t="str">
        <v>PEL EN 066/094</v>
      </c>
      <c r="E868" t="str">
        <v>normal</v>
      </c>
      <c r="F868" t="str">
        <v>HCM</v>
      </c>
      <c r="G868">
        <v>4</v>
      </c>
      <c r="H868">
        <v>1</v>
      </c>
      <c r="K868">
        <f>J868+H868-I868</f>
        <v>1</v>
      </c>
      <c r="L868">
        <f>G868*K868</f>
        <v>4</v>
      </c>
    </row>
    <row r="869">
      <c r="A869" t="str">
        <v>PO-DB-14</v>
      </c>
      <c r="B869" t="str">
        <v>pokemon</v>
      </c>
      <c r="C869" t="str">
        <v>sableye</v>
      </c>
      <c r="D869" t="str">
        <v>PEL EN 059/094</v>
      </c>
      <c r="E869" t="str">
        <v>normal</v>
      </c>
      <c r="F869" t="str">
        <v>HCM</v>
      </c>
      <c r="G869">
        <v>4</v>
      </c>
      <c r="H869">
        <v>2</v>
      </c>
      <c r="K869">
        <f>J869+H869-I869</f>
        <v>2</v>
      </c>
      <c r="L869">
        <f>G869*K869</f>
        <v>8</v>
      </c>
    </row>
    <row r="870">
      <c r="A870" t="str">
        <v>PO-DB-14</v>
      </c>
      <c r="B870" t="str">
        <v>pokemon</v>
      </c>
      <c r="C870" t="str">
        <v>sableye</v>
      </c>
      <c r="D870" t="str">
        <v>PEL EN 059/094</v>
      </c>
      <c r="E870" t="str">
        <v>holo</v>
      </c>
      <c r="F870" t="str">
        <v>HCM</v>
      </c>
      <c r="G870">
        <v>5</v>
      </c>
      <c r="H870">
        <v>1</v>
      </c>
      <c r="K870">
        <f>J870+H870-I870</f>
        <v>1</v>
      </c>
      <c r="L870">
        <f>G870*K870</f>
        <v>5</v>
      </c>
    </row>
    <row r="871">
      <c r="A871" t="str">
        <v>PO-DB-10</v>
      </c>
      <c r="B871" t="str">
        <v>pokemon</v>
      </c>
      <c r="C871" t="str">
        <v>MURKROW</v>
      </c>
      <c r="D871" t="str">
        <v>PEL EN 057/094</v>
      </c>
      <c r="E871" t="str">
        <v>normal</v>
      </c>
      <c r="F871" t="str">
        <v>HCM</v>
      </c>
      <c r="G871">
        <v>4</v>
      </c>
      <c r="H871">
        <v>1</v>
      </c>
      <c r="K871">
        <f>J871+H871-I871</f>
        <v>1</v>
      </c>
      <c r="L871">
        <f>G871*K871</f>
        <v>4</v>
      </c>
    </row>
    <row r="872">
      <c r="A872" t="str">
        <v>PO-DB-10</v>
      </c>
      <c r="B872" t="str">
        <v>pokemon</v>
      </c>
      <c r="C872" t="str">
        <v>MURKROW</v>
      </c>
      <c r="D872" t="str">
        <v>PEL EN 057/094</v>
      </c>
      <c r="E872" t="str">
        <v>holo</v>
      </c>
      <c r="F872" t="str">
        <v>HCM</v>
      </c>
      <c r="G872">
        <v>3</v>
      </c>
      <c r="H872">
        <v>1</v>
      </c>
      <c r="K872">
        <f>J872+H872-I872</f>
        <v>1</v>
      </c>
      <c r="L872">
        <f>G872*K872</f>
        <v>3</v>
      </c>
    </row>
    <row r="873">
      <c r="A873" t="str">
        <v>PO-W-28</v>
      </c>
      <c r="B873" t="str">
        <v>pokemon</v>
      </c>
      <c r="C873" t="str">
        <v>TOGEDEMARU</v>
      </c>
      <c r="D873" t="str">
        <v>PEL EN 073/094</v>
      </c>
      <c r="E873" t="str">
        <v>normal</v>
      </c>
      <c r="F873" t="str">
        <v>HCM</v>
      </c>
      <c r="G873">
        <v>2</v>
      </c>
      <c r="H873">
        <v>1</v>
      </c>
      <c r="K873">
        <f>J873+H873-I873</f>
        <v>1</v>
      </c>
      <c r="L873">
        <f>G873*K873</f>
        <v>2</v>
      </c>
    </row>
    <row r="874">
      <c r="A874" t="str">
        <v>PO-W-04</v>
      </c>
      <c r="B874" t="str">
        <v>pokemon</v>
      </c>
      <c r="C874" t="str">
        <v>CHANSEY</v>
      </c>
      <c r="D874" t="str">
        <v>MEW 113/165</v>
      </c>
      <c r="E874" t="str">
        <v>holo</v>
      </c>
      <c r="F874" t="str">
        <v>HCM</v>
      </c>
      <c r="G874">
        <v>3</v>
      </c>
      <c r="H874">
        <v>2</v>
      </c>
      <c r="K874">
        <f>J874+H874-I874</f>
        <v>2</v>
      </c>
      <c r="L874">
        <f>G874*K874</f>
        <v>6</v>
      </c>
    </row>
    <row r="875">
      <c r="A875" t="str">
        <v>PO-W-35</v>
      </c>
      <c r="B875" t="str">
        <v>pokemon</v>
      </c>
      <c r="C875" t="str">
        <v>TINKATUFF</v>
      </c>
      <c r="D875" t="str">
        <v>MEG 097/132</v>
      </c>
      <c r="E875" t="str">
        <v>holo</v>
      </c>
      <c r="F875" t="str">
        <v>HCM</v>
      </c>
      <c r="G875">
        <v>3</v>
      </c>
      <c r="H875">
        <v>1</v>
      </c>
      <c r="K875">
        <f>J875+H875-I875</f>
        <v>1</v>
      </c>
      <c r="L875">
        <f>G875*K875</f>
        <v>3</v>
      </c>
    </row>
    <row r="876">
      <c r="A876" t="str">
        <v>PO-W-34</v>
      </c>
      <c r="B876" t="str">
        <v>pokemon</v>
      </c>
      <c r="C876" t="str">
        <v>ZIGZAGOON</v>
      </c>
      <c r="D876" t="str">
        <v>PEL 081/094</v>
      </c>
      <c r="E876" t="str">
        <v>holo</v>
      </c>
      <c r="F876" t="str">
        <v>HCM</v>
      </c>
      <c r="G876">
        <v>3</v>
      </c>
      <c r="H876">
        <v>1</v>
      </c>
      <c r="K876">
        <f>J876+H876-I876</f>
        <v>1</v>
      </c>
      <c r="L876">
        <f>G876*K876</f>
        <v>3</v>
      </c>
    </row>
    <row r="877">
      <c r="A877" t="str">
        <v>PO-W-27</v>
      </c>
      <c r="B877" t="str">
        <v>pokemon</v>
      </c>
      <c r="C877" t="str">
        <v>TINKATON</v>
      </c>
      <c r="D877" t="str">
        <v>MEG 098/132</v>
      </c>
      <c r="E877" t="str">
        <v>holo</v>
      </c>
      <c r="F877" t="str">
        <v>HCM</v>
      </c>
      <c r="G877">
        <v>3</v>
      </c>
      <c r="H877">
        <v>1</v>
      </c>
      <c r="K877">
        <f>J877+H877-I877</f>
        <v>1</v>
      </c>
      <c r="L877">
        <f>G877*K877</f>
        <v>3</v>
      </c>
    </row>
    <row r="878">
      <c r="A878" t="str">
        <v>PO-W-08A</v>
      </c>
      <c r="B878" t="str">
        <v>pokemon</v>
      </c>
      <c r="C878" t="str">
        <v>DUNSPARCE</v>
      </c>
      <c r="D878" t="str">
        <v>PRE 079/131</v>
      </c>
      <c r="E878" t="str">
        <v>normal</v>
      </c>
      <c r="F878" t="str">
        <v>HCM</v>
      </c>
      <c r="G878">
        <v>4</v>
      </c>
      <c r="H878">
        <v>18</v>
      </c>
      <c r="K878">
        <f>J878+H878-I878</f>
        <v>18</v>
      </c>
      <c r="L878">
        <f>G878*K878</f>
        <v>72</v>
      </c>
    </row>
    <row r="879">
      <c r="A879" t="str">
        <v>PO-W-08A</v>
      </c>
      <c r="B879" t="str">
        <v>pokemon</v>
      </c>
      <c r="C879" t="str">
        <v>DUNSPARCE</v>
      </c>
      <c r="D879" t="str">
        <v>TEF 128/162</v>
      </c>
      <c r="E879" t="str">
        <v>normal</v>
      </c>
      <c r="F879" t="str">
        <v>HCM</v>
      </c>
      <c r="G879">
        <v>4</v>
      </c>
      <c r="H879">
        <v>15</v>
      </c>
      <c r="K879">
        <f>J879+H879-I879</f>
        <v>15</v>
      </c>
      <c r="L879">
        <f>G879*K879</f>
        <v>60</v>
      </c>
    </row>
    <row r="880">
      <c r="A880" t="str">
        <v>PO-W-08A</v>
      </c>
      <c r="B880" t="str">
        <v>pokemon</v>
      </c>
      <c r="C880" t="str">
        <v>DUNSPARCE</v>
      </c>
      <c r="D880" t="str">
        <v>PRE 079/131</v>
      </c>
      <c r="E880" t="str">
        <v>holo</v>
      </c>
      <c r="F880" t="str">
        <v>HCM</v>
      </c>
      <c r="G880">
        <v>5</v>
      </c>
      <c r="H880">
        <v>6</v>
      </c>
      <c r="K880">
        <f>J880+H880-I880</f>
        <v>6</v>
      </c>
      <c r="L880">
        <f>G880*K880</f>
        <v>30</v>
      </c>
    </row>
    <row r="881">
      <c r="A881" t="str">
        <v>PO-W-08A</v>
      </c>
      <c r="B881" t="str">
        <v>pokemon</v>
      </c>
      <c r="C881" t="str">
        <v>DUNSPARCE</v>
      </c>
      <c r="D881" t="str">
        <v>TEF 128/162</v>
      </c>
      <c r="E881" t="str">
        <v>holo</v>
      </c>
      <c r="F881" t="str">
        <v>HCM</v>
      </c>
      <c r="G881">
        <v>5</v>
      </c>
      <c r="H881">
        <v>1</v>
      </c>
      <c r="K881">
        <f>J881+H881-I881</f>
        <v>1</v>
      </c>
      <c r="L881">
        <f>G881*K881</f>
        <v>5</v>
      </c>
    </row>
    <row r="882">
      <c r="A882" t="str">
        <v>PO-W-21</v>
      </c>
      <c r="B882" t="str">
        <v>pokemon</v>
      </c>
      <c r="C882" t="str">
        <v>MAGEARNA</v>
      </c>
      <c r="D882" t="str">
        <v>JTG 107/159</v>
      </c>
      <c r="E882" t="str">
        <v>holo</v>
      </c>
      <c r="F882" t="str">
        <v>HCM</v>
      </c>
      <c r="G882">
        <v>5</v>
      </c>
      <c r="H882">
        <v>1</v>
      </c>
      <c r="K882">
        <f>J882+H882-I882</f>
        <v>1</v>
      </c>
      <c r="L882">
        <f>G882*K882</f>
        <v>5</v>
      </c>
    </row>
    <row r="883">
      <c r="A883" t="str">
        <v>PO-W-18</v>
      </c>
      <c r="B883" t="str">
        <v>pokemon</v>
      </c>
      <c r="C883" t="str">
        <v>LINOONE</v>
      </c>
      <c r="D883" t="str">
        <v>PFL 082/094</v>
      </c>
      <c r="E883" t="str">
        <v>normal</v>
      </c>
      <c r="F883" t="str">
        <v>HCM</v>
      </c>
      <c r="G883">
        <v>4</v>
      </c>
      <c r="H883">
        <v>1</v>
      </c>
      <c r="K883">
        <f>J883+H883-I883</f>
        <v>1</v>
      </c>
      <c r="L883">
        <f>G883*K883</f>
        <v>4</v>
      </c>
    </row>
    <row r="884">
      <c r="A884" t="str">
        <v>PO-W-30</v>
      </c>
      <c r="B884" t="str">
        <v>pokemon</v>
      </c>
      <c r="C884" t="str">
        <v>SMEARGLE</v>
      </c>
      <c r="D884" t="str">
        <v>PFL 080/094</v>
      </c>
      <c r="E884" t="str">
        <v>holo</v>
      </c>
      <c r="F884" t="str">
        <v>HCM</v>
      </c>
      <c r="G884">
        <v>3</v>
      </c>
      <c r="H884">
        <v>1</v>
      </c>
      <c r="K884">
        <f>J884+H884-I884</f>
        <v>1</v>
      </c>
      <c r="L884">
        <f>G884*K884</f>
        <v>3</v>
      </c>
    </row>
    <row r="885">
      <c r="A885" t="str">
        <v>PO-W-09</v>
      </c>
      <c r="B885" t="str">
        <v>pokemon</v>
      </c>
      <c r="C885" t="str">
        <v>DURALUDON</v>
      </c>
      <c r="D885" t="str">
        <v>PFL 074/094</v>
      </c>
      <c r="E885" t="str">
        <v>normal</v>
      </c>
      <c r="F885" t="str">
        <v>HCM</v>
      </c>
      <c r="G885">
        <v>4</v>
      </c>
      <c r="H885">
        <v>1</v>
      </c>
      <c r="K885">
        <f>J885+H885-I885</f>
        <v>1</v>
      </c>
      <c r="L885">
        <f>G885*K885</f>
        <v>4</v>
      </c>
    </row>
    <row r="886">
      <c r="A886" t="str">
        <v>PO-W-31</v>
      </c>
      <c r="B886" t="str">
        <v>pokemon</v>
      </c>
      <c r="C886" t="str">
        <v>SNORLAX</v>
      </c>
      <c r="D886" t="str">
        <v>POR 063/088</v>
      </c>
      <c r="E886" t="str">
        <v>holo</v>
      </c>
      <c r="F886" t="str">
        <v>HCM</v>
      </c>
      <c r="G886">
        <v>5</v>
      </c>
      <c r="H886">
        <v>1</v>
      </c>
      <c r="K886">
        <f>J886+H886-I886</f>
        <v>1</v>
      </c>
      <c r="L886">
        <f>G886*K886</f>
        <v>5</v>
      </c>
    </row>
    <row r="887">
      <c r="A887" t="str">
        <v>PO-W-31</v>
      </c>
      <c r="B887" t="str">
        <v>pokemon</v>
      </c>
      <c r="C887" t="str">
        <v>SNORLAX</v>
      </c>
      <c r="D887" t="str">
        <v>SSP 144/191</v>
      </c>
      <c r="E887" t="str">
        <v>normal</v>
      </c>
      <c r="F887" t="str">
        <v>HCM</v>
      </c>
      <c r="G887">
        <v>4</v>
      </c>
      <c r="H887">
        <v>1</v>
      </c>
      <c r="K887">
        <f>J887+H887-I887</f>
        <v>1</v>
      </c>
      <c r="L887">
        <f>G887*K887</f>
        <v>4</v>
      </c>
    </row>
    <row r="888">
      <c r="A888" t="str">
        <v>PO-W-17</v>
      </c>
      <c r="B888" t="str">
        <v>pokemon</v>
      </c>
      <c r="C888" t="str">
        <v>HOOTHOOT</v>
      </c>
      <c r="D888" t="str">
        <v>TEF 126/162</v>
      </c>
      <c r="E888" t="str">
        <v>normal</v>
      </c>
      <c r="F888" t="str">
        <v>HCM</v>
      </c>
      <c r="G888">
        <v>6</v>
      </c>
      <c r="H888">
        <v>1</v>
      </c>
      <c r="K888">
        <f>J888+H888-I888</f>
        <v>1</v>
      </c>
      <c r="L888">
        <f>G888*K888</f>
        <v>6</v>
      </c>
    </row>
    <row r="889">
      <c r="A889" t="str">
        <v>PO-W-17</v>
      </c>
      <c r="B889" t="str">
        <v>pokemon</v>
      </c>
      <c r="C889" t="str">
        <v>HOOTHOOT</v>
      </c>
      <c r="D889" t="str">
        <v>SCR 114/142</v>
      </c>
      <c r="E889" t="str">
        <v>normal</v>
      </c>
      <c r="F889" t="str">
        <v>HCM</v>
      </c>
      <c r="G889">
        <v>8</v>
      </c>
      <c r="H889">
        <v>7</v>
      </c>
      <c r="K889">
        <f>J889+H889-I889</f>
        <v>7</v>
      </c>
      <c r="L889">
        <f>G889*K889</f>
        <v>56</v>
      </c>
    </row>
    <row r="890">
      <c r="A890" t="str">
        <v>PO-W-17</v>
      </c>
      <c r="B890" t="str">
        <v>pokemon</v>
      </c>
      <c r="C890" t="str">
        <v>HOOTHOOT</v>
      </c>
      <c r="D890" t="str">
        <v>PRE 077/131</v>
      </c>
      <c r="E890" t="str">
        <v>holo</v>
      </c>
      <c r="F890" t="str">
        <v>HCM</v>
      </c>
      <c r="G890">
        <v>6</v>
      </c>
      <c r="H890">
        <v>2</v>
      </c>
      <c r="K890">
        <f>J890+H890-I890</f>
        <v>2</v>
      </c>
      <c r="L890">
        <f>G890*K890</f>
        <v>12</v>
      </c>
    </row>
    <row r="891">
      <c r="A891" t="str">
        <v>PO-W-17</v>
      </c>
      <c r="B891" t="str">
        <v>pokemon</v>
      </c>
      <c r="C891" t="str">
        <v>HOOTHOOT</v>
      </c>
      <c r="D891" t="str">
        <v>PRE 077/131</v>
      </c>
      <c r="E891" t="str">
        <v>normal</v>
      </c>
      <c r="F891" t="str">
        <v>HCM</v>
      </c>
      <c r="G891">
        <v>5</v>
      </c>
      <c r="H891">
        <v>9</v>
      </c>
      <c r="K891">
        <f>J891+H891-I891</f>
        <v>9</v>
      </c>
      <c r="L891">
        <f>G891*K891</f>
        <v>45</v>
      </c>
    </row>
    <row r="892">
      <c r="A892" t="str">
        <v>PO-W-29</v>
      </c>
      <c r="B892" t="str">
        <v>pokemon</v>
      </c>
      <c r="C892" t="str">
        <v>SCIZOR</v>
      </c>
      <c r="D892" t="str">
        <v>OBF 141/197</v>
      </c>
      <c r="E892" t="str">
        <v>holo</v>
      </c>
      <c r="F892" t="str">
        <v>HCM</v>
      </c>
      <c r="G892">
        <v>4</v>
      </c>
      <c r="H892">
        <v>2</v>
      </c>
      <c r="K892">
        <f>J892+H892-I892</f>
        <v>2</v>
      </c>
      <c r="L892">
        <f>G892*K892</f>
        <v>8</v>
      </c>
    </row>
    <row r="893">
      <c r="A893" t="str">
        <v>PO-W-13</v>
      </c>
      <c r="B893" t="str">
        <v>pokemon</v>
      </c>
      <c r="C893" t="str">
        <v>GHOLDENGO</v>
      </c>
      <c r="D893" t="str">
        <v>SSP 131/191</v>
      </c>
      <c r="E893" t="str">
        <v>normal</v>
      </c>
      <c r="F893" t="str">
        <v>HCM</v>
      </c>
      <c r="G893">
        <v>3</v>
      </c>
      <c r="H893">
        <v>2</v>
      </c>
      <c r="K893">
        <f>J893+H893-I893</f>
        <v>2</v>
      </c>
      <c r="L893">
        <f>G893*K893</f>
        <v>6</v>
      </c>
    </row>
    <row r="894">
      <c r="A894" t="str">
        <v>PO-W-06</v>
      </c>
      <c r="B894" t="str">
        <v>pokemon</v>
      </c>
      <c r="C894" t="str">
        <v>DITTO</v>
      </c>
      <c r="D894" t="str">
        <v>MEW 132/165</v>
      </c>
      <c r="E894" t="str">
        <v>holo</v>
      </c>
      <c r="F894" t="str">
        <v>HCM</v>
      </c>
      <c r="G894">
        <v>4</v>
      </c>
      <c r="H894">
        <v>4</v>
      </c>
      <c r="K894">
        <f>J894+H894-I894</f>
        <v>4</v>
      </c>
      <c r="L894">
        <f>G894*K894</f>
        <v>16</v>
      </c>
    </row>
    <row r="895">
      <c r="A895" t="str">
        <v>PO-W-15</v>
      </c>
      <c r="B895" t="str">
        <v>pokemon</v>
      </c>
      <c r="C895" t="str">
        <v>GIRAFARIG</v>
      </c>
      <c r="D895" t="str">
        <v>PAL 154/193</v>
      </c>
      <c r="E895" t="str">
        <v>normal</v>
      </c>
      <c r="F895" t="str">
        <v>HCM</v>
      </c>
      <c r="G895">
        <v>4</v>
      </c>
      <c r="H895">
        <v>2</v>
      </c>
      <c r="K895">
        <f>J895+H895-I895</f>
        <v>2</v>
      </c>
      <c r="L895">
        <f>G895*K895</f>
        <v>8</v>
      </c>
    </row>
    <row r="896">
      <c r="A896" t="str">
        <v>PO-G-15A</v>
      </c>
      <c r="B896" t="str">
        <v>pokemon</v>
      </c>
      <c r="C896" t="str">
        <v>LEAFEON</v>
      </c>
      <c r="D896" t="str">
        <v>PRE 005/131</v>
      </c>
      <c r="E896" t="str">
        <v>normal</v>
      </c>
      <c r="F896" t="str">
        <v>HCM</v>
      </c>
      <c r="G896">
        <v>6</v>
      </c>
      <c r="H896">
        <v>1</v>
      </c>
      <c r="K896">
        <f>J896+H896-I896</f>
        <v>1</v>
      </c>
      <c r="L896">
        <f>G896*K896</f>
        <v>6</v>
      </c>
    </row>
    <row r="897">
      <c r="A897" t="str">
        <v>PO-G-15</v>
      </c>
      <c r="B897" t="str">
        <v>pokemon</v>
      </c>
      <c r="C897" t="str">
        <v>lotad</v>
      </c>
      <c r="D897" t="str">
        <v>PEL 005/094</v>
      </c>
      <c r="E897" t="str">
        <v>normal</v>
      </c>
      <c r="F897" t="str">
        <v>HCM</v>
      </c>
      <c r="G897">
        <v>4</v>
      </c>
      <c r="H897">
        <v>1</v>
      </c>
      <c r="K897">
        <f>J897+H897-I897</f>
        <v>1</v>
      </c>
      <c r="L897">
        <f>G897*K897</f>
        <v>4</v>
      </c>
    </row>
    <row r="898">
      <c r="A898" t="str">
        <v>PO-G-21</v>
      </c>
      <c r="B898" t="str">
        <v>pokemon</v>
      </c>
      <c r="C898" t="str">
        <v>SCYTHER</v>
      </c>
      <c r="D898" t="str">
        <v>MEW 123/165</v>
      </c>
      <c r="E898" t="str">
        <v>normal</v>
      </c>
      <c r="F898" t="str">
        <v>HCM</v>
      </c>
      <c r="G898">
        <v>4</v>
      </c>
      <c r="H898">
        <v>1</v>
      </c>
      <c r="K898">
        <f>J898+H898-I898</f>
        <v>1</v>
      </c>
      <c r="L898">
        <f>G898*K898</f>
        <v>4</v>
      </c>
    </row>
    <row r="899">
      <c r="A899" t="str">
        <v>PO-G-20</v>
      </c>
      <c r="B899" t="str">
        <v>pokemon</v>
      </c>
      <c r="C899" t="str">
        <v>TOEDSCOOL</v>
      </c>
      <c r="D899" t="str">
        <v>PAR 016/182</v>
      </c>
      <c r="E899" t="str">
        <v>normal</v>
      </c>
      <c r="F899" t="str">
        <v>HCM</v>
      </c>
      <c r="G899">
        <v>4</v>
      </c>
      <c r="H899">
        <v>1</v>
      </c>
      <c r="K899">
        <f>J899+H899-I899</f>
        <v>1</v>
      </c>
      <c r="L899">
        <f>G899*K899</f>
        <v>4</v>
      </c>
    </row>
    <row r="900">
      <c r="A900" t="str">
        <v>PO-G-07</v>
      </c>
      <c r="B900" t="str">
        <v>pokemon</v>
      </c>
      <c r="C900" t="str">
        <v>CELEBI</v>
      </c>
      <c r="D900" t="str">
        <v>MEG 012/132</v>
      </c>
      <c r="E900" t="str">
        <v>normal</v>
      </c>
      <c r="F900" t="str">
        <v>HCM</v>
      </c>
      <c r="G900">
        <v>3</v>
      </c>
      <c r="H900">
        <v>2</v>
      </c>
      <c r="K900">
        <f>J900+H900-I900</f>
        <v>2</v>
      </c>
      <c r="L900">
        <f>G900*K900</f>
        <v>6</v>
      </c>
    </row>
    <row r="901">
      <c r="A901" t="str">
        <v>PO-G-31</v>
      </c>
      <c r="B901" t="str">
        <v>pokemon</v>
      </c>
      <c r="C901" t="str">
        <v>WO - CHIEN</v>
      </c>
      <c r="D901" t="str">
        <v>PAR 018/182</v>
      </c>
      <c r="E901" t="str">
        <v>normal</v>
      </c>
      <c r="F901" t="str">
        <v>HCM</v>
      </c>
      <c r="G901">
        <v>3</v>
      </c>
      <c r="H901">
        <v>1</v>
      </c>
      <c r="K901">
        <f>J901+H901-I901</f>
        <v>1</v>
      </c>
      <c r="L901">
        <f>G901*K901</f>
        <v>3</v>
      </c>
    </row>
    <row r="902">
      <c r="A902" t="str">
        <v>PO-G-23</v>
      </c>
      <c r="B902" t="str">
        <v>pokemon</v>
      </c>
      <c r="C902" t="str">
        <v>SHUCKLE</v>
      </c>
      <c r="D902" t="str">
        <v>MEG 011/132</v>
      </c>
      <c r="E902" t="str">
        <v>normal</v>
      </c>
      <c r="F902" t="str">
        <v>HCM</v>
      </c>
      <c r="G902">
        <v>3</v>
      </c>
      <c r="H902">
        <v>4</v>
      </c>
      <c r="K902">
        <f>J902+H902-I902</f>
        <v>4</v>
      </c>
      <c r="L902">
        <f>G902*K902</f>
        <v>12</v>
      </c>
    </row>
    <row r="903">
      <c r="A903" t="str">
        <v>PO-G-06</v>
      </c>
      <c r="B903" t="str">
        <v>pokemon</v>
      </c>
      <c r="C903" t="str">
        <v>CHIKORITA</v>
      </c>
      <c r="D903" t="str">
        <v>ASC 008/132</v>
      </c>
      <c r="E903" t="str">
        <v>normal</v>
      </c>
      <c r="F903" t="str">
        <v>HCM</v>
      </c>
      <c r="G903">
        <v>4</v>
      </c>
      <c r="H903">
        <v>8</v>
      </c>
      <c r="K903">
        <f>J903+H903-I903</f>
        <v>8</v>
      </c>
      <c r="L903">
        <f>G903*K903</f>
        <v>32</v>
      </c>
    </row>
    <row r="904">
      <c r="A904" t="str">
        <v>PO-G-06</v>
      </c>
      <c r="B904" t="str">
        <v>pokemon</v>
      </c>
      <c r="C904" t="str">
        <v>CHIKORITA</v>
      </c>
      <c r="D904" t="str">
        <v>MEG 008/132</v>
      </c>
      <c r="E904" t="str">
        <v>normal</v>
      </c>
      <c r="F904" t="str">
        <v>HCM</v>
      </c>
      <c r="G904">
        <v>4</v>
      </c>
      <c r="H904">
        <v>1</v>
      </c>
      <c r="K904">
        <f>J904+H904-I904</f>
        <v>1</v>
      </c>
      <c r="L904">
        <f>G904*K904</f>
        <v>4</v>
      </c>
    </row>
    <row r="905">
      <c r="A905" t="str">
        <v>PO-G-06</v>
      </c>
      <c r="B905" t="str">
        <v>pokemon</v>
      </c>
      <c r="C905" t="str">
        <v>CHIKORITA</v>
      </c>
      <c r="D905" t="str">
        <v>MEG 008/132</v>
      </c>
      <c r="E905" t="str">
        <v>holo</v>
      </c>
      <c r="F905" t="str">
        <v>HCM</v>
      </c>
      <c r="G905">
        <v>4</v>
      </c>
      <c r="H905">
        <v>2</v>
      </c>
      <c r="K905">
        <f>J905+H905-I905</f>
        <v>2</v>
      </c>
      <c r="L905">
        <f>G905*K905</f>
        <v>8</v>
      </c>
    </row>
    <row r="906">
      <c r="A906" t="str">
        <v>TO-16</v>
      </c>
      <c r="B906" t="str">
        <v>tool</v>
      </c>
      <c r="C906" t="str">
        <v>ROCK CHESTPLATE</v>
      </c>
      <c r="D906" t="str">
        <v>SVI 192/198</v>
      </c>
      <c r="E906" t="str">
        <v>normal</v>
      </c>
      <c r="F906" t="str">
        <v>HCM</v>
      </c>
      <c r="G906">
        <v>3</v>
      </c>
      <c r="H906">
        <v>1</v>
      </c>
      <c r="K906">
        <f>J906+H906-I906</f>
        <v>1</v>
      </c>
      <c r="L906">
        <f>G906*K906</f>
        <v>3</v>
      </c>
    </row>
    <row r="907">
      <c r="A907" t="str">
        <v>TO-21</v>
      </c>
      <c r="B907" t="str">
        <v>tool</v>
      </c>
      <c r="C907" t="str">
        <v>ROCKY HELMET</v>
      </c>
      <c r="D907" t="str">
        <v>SVI 193/198</v>
      </c>
      <c r="E907" t="str">
        <v>normal</v>
      </c>
      <c r="F907" t="str">
        <v>HCM</v>
      </c>
      <c r="G907">
        <v>3</v>
      </c>
      <c r="H907">
        <v>1</v>
      </c>
      <c r="K907">
        <f>J907+H907-I907</f>
        <v>1</v>
      </c>
      <c r="L907">
        <f>G907*K907</f>
        <v>3</v>
      </c>
    </row>
    <row r="908">
      <c r="A908" t="str">
        <v>TO-29</v>
      </c>
      <c r="B908" t="str">
        <v>tool</v>
      </c>
      <c r="C908" t="str">
        <v>PROTECTIVE GOGGLES</v>
      </c>
      <c r="D908" t="str">
        <v>MEW 164/165</v>
      </c>
      <c r="E908" t="str">
        <v>normal</v>
      </c>
      <c r="F908" t="str">
        <v>HCM</v>
      </c>
      <c r="G908">
        <v>3</v>
      </c>
      <c r="H908">
        <v>1</v>
      </c>
      <c r="K908">
        <f>J908+H908-I908</f>
        <v>1</v>
      </c>
      <c r="L908">
        <f>G908*K908</f>
        <v>3</v>
      </c>
    </row>
    <row r="909">
      <c r="A909" t="str">
        <v>TO-31</v>
      </c>
      <c r="B909" t="str">
        <v>tool</v>
      </c>
      <c r="C909" t="str">
        <v>LIGHT BALL</v>
      </c>
      <c r="D909" t="str">
        <v>ASC 191/217</v>
      </c>
      <c r="E909" t="str">
        <v>normal</v>
      </c>
      <c r="F909" t="str">
        <v>HCM</v>
      </c>
      <c r="G909">
        <v>6</v>
      </c>
      <c r="H909">
        <v>1</v>
      </c>
      <c r="K909">
        <f>J909+H909-I909</f>
        <v>1</v>
      </c>
      <c r="L909">
        <f>G909*K909</f>
        <v>6</v>
      </c>
    </row>
    <row r="910">
      <c r="A910" t="str">
        <v>PO-Y-48</v>
      </c>
      <c r="B910" t="str">
        <v>pokemon</v>
      </c>
      <c r="C910" t="str">
        <v>WATTREL</v>
      </c>
      <c r="D910" t="str">
        <v>SVI 078/198</v>
      </c>
      <c r="E910" t="str">
        <v>holo</v>
      </c>
      <c r="F910" t="str">
        <v>HCM</v>
      </c>
      <c r="G910">
        <v>4</v>
      </c>
      <c r="H910">
        <v>1</v>
      </c>
      <c r="K910">
        <f>J910+H910-I910</f>
        <v>1</v>
      </c>
      <c r="L910">
        <f>G910*K910</f>
        <v>4</v>
      </c>
    </row>
    <row r="911">
      <c r="A911" t="str">
        <v>PO-Y-28</v>
      </c>
      <c r="B911" t="str">
        <v>pokemon</v>
      </c>
      <c r="C911" t="str">
        <v>PRIMEAPE</v>
      </c>
      <c r="D911" t="str">
        <v>SVI 108/198</v>
      </c>
      <c r="E911" t="str">
        <v>normal</v>
      </c>
      <c r="F911" t="str">
        <v>HCM</v>
      </c>
      <c r="G911">
        <v>3</v>
      </c>
      <c r="H911">
        <v>1</v>
      </c>
      <c r="K911">
        <f>J911+H911-I911</f>
        <v>1</v>
      </c>
      <c r="L911">
        <f>G911*K911</f>
        <v>3</v>
      </c>
    </row>
    <row r="912">
      <c r="A912" t="str">
        <v>PO-Y-36</v>
      </c>
      <c r="B912" t="str">
        <v>pokemon</v>
      </c>
      <c r="C912" t="str">
        <v>RAICHU</v>
      </c>
      <c r="D912" t="str">
        <v>MEW 026/165</v>
      </c>
      <c r="E912" t="str">
        <v>holo</v>
      </c>
      <c r="F912" t="str">
        <v>HCM</v>
      </c>
      <c r="G912">
        <v>4</v>
      </c>
      <c r="H912">
        <v>1</v>
      </c>
      <c r="K912">
        <f>J912+H912-I912</f>
        <v>1</v>
      </c>
      <c r="L912">
        <f>G912*K912</f>
        <v>4</v>
      </c>
    </row>
    <row r="913">
      <c r="A913" t="str">
        <v>PO-Y-27</v>
      </c>
      <c r="B913" t="str">
        <v>pokemon</v>
      </c>
      <c r="C913" t="str">
        <v>PAWMI</v>
      </c>
      <c r="D913" t="str">
        <v>PFL 032/094</v>
      </c>
      <c r="E913" t="str">
        <v>normal</v>
      </c>
      <c r="F913" t="str">
        <v>HCM</v>
      </c>
      <c r="G913">
        <v>4</v>
      </c>
      <c r="H913">
        <v>1</v>
      </c>
      <c r="K913">
        <f>J913+H913-I913</f>
        <v>1</v>
      </c>
      <c r="L913">
        <f>G913*K913</f>
        <v>4</v>
      </c>
    </row>
    <row r="914">
      <c r="A914" t="str">
        <v>PO-Y-02</v>
      </c>
      <c r="B914" t="str">
        <v>pokemon</v>
      </c>
      <c r="C914" t="str">
        <v>BOLTUND</v>
      </c>
      <c r="D914" t="str">
        <v>PFL 031/094</v>
      </c>
      <c r="E914" t="str">
        <v>normal</v>
      </c>
      <c r="F914" t="str">
        <v>HCM</v>
      </c>
      <c r="G914">
        <v>4</v>
      </c>
      <c r="H914">
        <v>1</v>
      </c>
      <c r="K914">
        <f>J914+H914-I914</f>
        <v>1</v>
      </c>
      <c r="L914">
        <f>G914*K914</f>
        <v>4</v>
      </c>
    </row>
    <row r="915">
      <c r="A915" t="str">
        <v>PO-Y-13</v>
      </c>
      <c r="B915" t="str">
        <v>pokemon</v>
      </c>
      <c r="C915" t="str">
        <v>GLISCOR</v>
      </c>
      <c r="D915" t="str">
        <v>PFL 050/094</v>
      </c>
      <c r="E915" t="str">
        <v xml:space="preserve">normal </v>
      </c>
      <c r="F915" t="str">
        <v>HCM</v>
      </c>
      <c r="G915">
        <v>4</v>
      </c>
      <c r="H915">
        <v>1</v>
      </c>
      <c r="K915">
        <f>J915+H915-I915</f>
        <v>1</v>
      </c>
      <c r="L915">
        <f>G915*K915</f>
        <v>4</v>
      </c>
    </row>
    <row r="916">
      <c r="A916" t="str">
        <v>PO-Y-32</v>
      </c>
      <c r="B916" t="str">
        <v>pokemon</v>
      </c>
      <c r="C916" t="str">
        <v>PALDEAN TAUROS</v>
      </c>
      <c r="D916" t="str">
        <v>PFL 048/094</v>
      </c>
      <c r="E916" t="str">
        <v>normal</v>
      </c>
      <c r="F916" t="str">
        <v>HCM</v>
      </c>
      <c r="G916">
        <v>4</v>
      </c>
      <c r="H916">
        <v>1</v>
      </c>
      <c r="K916">
        <f>J916+H916-I916</f>
        <v>1</v>
      </c>
      <c r="L916">
        <f>G916*K916</f>
        <v>4</v>
      </c>
    </row>
    <row r="917">
      <c r="A917" t="str">
        <v>PO-Y-15</v>
      </c>
      <c r="B917" t="str">
        <v>pokemon</v>
      </c>
      <c r="C917" t="str">
        <v>GROUDON</v>
      </c>
      <c r="D917" t="str">
        <v>ASC 108/217</v>
      </c>
      <c r="E917" t="str">
        <v>holo</v>
      </c>
      <c r="F917" t="str">
        <v>HCM</v>
      </c>
      <c r="G917">
        <v>5</v>
      </c>
      <c r="H917">
        <v>1</v>
      </c>
      <c r="K917">
        <f>J917+H917-I917</f>
        <v>1</v>
      </c>
      <c r="L917">
        <f>G917*K917</f>
        <v>5</v>
      </c>
    </row>
    <row r="918">
      <c r="A918" t="str">
        <v>PO-Y-05</v>
      </c>
      <c r="B918" t="str">
        <v>pokemon</v>
      </c>
      <c r="C918" t="str">
        <v>DRILBUR</v>
      </c>
      <c r="D918" t="str">
        <v>TEF 085/162</v>
      </c>
      <c r="E918" t="str">
        <v>normal</v>
      </c>
      <c r="F918" t="str">
        <v>HCM</v>
      </c>
      <c r="G918">
        <v>4</v>
      </c>
      <c r="H918">
        <v>4</v>
      </c>
      <c r="K918">
        <f>J918+H918-I918</f>
        <v>4</v>
      </c>
      <c r="L918">
        <f>G918*K918</f>
        <v>16</v>
      </c>
    </row>
    <row r="919">
      <c r="A919" t="str">
        <v>PO-Y-44</v>
      </c>
      <c r="B919" t="str">
        <v>pokemon</v>
      </c>
      <c r="C919" t="str">
        <v>VIBRAVA</v>
      </c>
      <c r="D919" t="str">
        <v>PEL 052/094</v>
      </c>
      <c r="E919" t="str">
        <v>normal</v>
      </c>
      <c r="F919" t="str">
        <v>HCM</v>
      </c>
      <c r="G919">
        <v>4</v>
      </c>
      <c r="H919">
        <v>1</v>
      </c>
      <c r="K919">
        <f>J919+H919-I919</f>
        <v>1</v>
      </c>
      <c r="L919">
        <f>G919*K919</f>
        <v>4</v>
      </c>
    </row>
    <row r="920">
      <c r="A920" t="str">
        <v>PO-Y-44</v>
      </c>
      <c r="B920" t="str">
        <v>pokemon</v>
      </c>
      <c r="C920" t="str">
        <v>VIBRAVA</v>
      </c>
      <c r="D920" t="str">
        <v>PEL 052/094</v>
      </c>
      <c r="E920" t="str">
        <v>holo</v>
      </c>
      <c r="F920" t="str">
        <v>HCM</v>
      </c>
      <c r="G920">
        <v>5</v>
      </c>
      <c r="H920">
        <v>1</v>
      </c>
      <c r="K920">
        <f>J920+H920-I920</f>
        <v>1</v>
      </c>
      <c r="L920">
        <f>G920*K920</f>
        <v>5</v>
      </c>
    </row>
    <row r="921">
      <c r="A921" t="str">
        <v>PO-Y-46</v>
      </c>
      <c r="B921" t="str">
        <v>pokemon</v>
      </c>
      <c r="C921" t="str">
        <v>ZERAORA</v>
      </c>
      <c r="D921" t="str">
        <v>DRI 078/182</v>
      </c>
      <c r="E921" t="str">
        <v>normal</v>
      </c>
      <c r="F921" t="str">
        <v>HCM</v>
      </c>
      <c r="G921">
        <v>4</v>
      </c>
      <c r="H921">
        <v>1</v>
      </c>
      <c r="K921">
        <f>J921+H921-I921</f>
        <v>1</v>
      </c>
      <c r="L921">
        <f>G921*K921</f>
        <v>4</v>
      </c>
    </row>
    <row r="922">
      <c r="A922" t="str">
        <v>PO-Y-45</v>
      </c>
      <c r="B922" t="str">
        <v>pokemon</v>
      </c>
      <c r="C922" t="str">
        <v>LONO'S VOLTORB</v>
      </c>
      <c r="D922" t="str">
        <v>JTG 047/159</v>
      </c>
      <c r="E922" t="str">
        <v>normal</v>
      </c>
      <c r="F922" t="str">
        <v>HCM</v>
      </c>
      <c r="G922">
        <v>4</v>
      </c>
      <c r="H922">
        <v>6</v>
      </c>
      <c r="K922">
        <f>J922+H922-I922</f>
        <v>6</v>
      </c>
      <c r="L922">
        <f>G922*K922</f>
        <v>24</v>
      </c>
    </row>
    <row r="923">
      <c r="A923" t="str">
        <v>PO-Y-25</v>
      </c>
      <c r="B923" t="str">
        <v>pokemon</v>
      </c>
      <c r="C923" t="str">
        <v>NACLI</v>
      </c>
      <c r="D923" t="str">
        <v>PAR 102/182</v>
      </c>
      <c r="E923" t="str">
        <v>normal</v>
      </c>
      <c r="F923" t="str">
        <v>HCM</v>
      </c>
      <c r="G923">
        <v>4</v>
      </c>
      <c r="H923">
        <v>2</v>
      </c>
      <c r="K923">
        <f>J923+H923-I923</f>
        <v>2</v>
      </c>
      <c r="L923">
        <f>G923*K923</f>
        <v>8</v>
      </c>
    </row>
    <row r="924">
      <c r="A924" t="str">
        <v>PO-Y-25A</v>
      </c>
      <c r="B924" t="str">
        <v>pokemon</v>
      </c>
      <c r="C924" t="str">
        <v>NACLSTACK</v>
      </c>
      <c r="D924" t="str">
        <v>PAR 103/182</v>
      </c>
      <c r="E924" t="str">
        <v>normal</v>
      </c>
      <c r="F924" t="str">
        <v>HCM</v>
      </c>
      <c r="G924">
        <v>4</v>
      </c>
      <c r="H924">
        <v>1</v>
      </c>
      <c r="K924">
        <f>J924+H924-I924</f>
        <v>1</v>
      </c>
      <c r="L924">
        <f>G924*K924</f>
        <v>4</v>
      </c>
    </row>
    <row r="925">
      <c r="A925" t="str">
        <v>PO-Y-47</v>
      </c>
      <c r="B925" t="str">
        <v>pokemon</v>
      </c>
      <c r="C925" t="str">
        <v>LONO'S WATTREL</v>
      </c>
      <c r="D925" t="str">
        <v>ASC 71/217</v>
      </c>
      <c r="E925" t="str">
        <v>normal</v>
      </c>
      <c r="F925" t="str">
        <v>HCM</v>
      </c>
      <c r="G925">
        <v>4</v>
      </c>
      <c r="H925">
        <v>4</v>
      </c>
      <c r="K925">
        <f>J925+H925-I925</f>
        <v>4</v>
      </c>
      <c r="L925">
        <f>G925*K925</f>
        <v>16</v>
      </c>
    </row>
    <row r="926">
      <c r="A926" t="str">
        <v>PO-Y-47</v>
      </c>
      <c r="B926" t="str">
        <v>pokemon</v>
      </c>
      <c r="C926" t="str">
        <v>LONO'S WATTREL</v>
      </c>
      <c r="D926" t="str">
        <v>JTG 054/159</v>
      </c>
      <c r="E926" t="str">
        <v>normal</v>
      </c>
      <c r="F926" t="str">
        <v>HCM</v>
      </c>
      <c r="G926">
        <v>4</v>
      </c>
      <c r="H926">
        <v>8</v>
      </c>
      <c r="K926">
        <f>J926+H926-I926</f>
        <v>8</v>
      </c>
      <c r="L926">
        <f>G926*K926</f>
        <v>32</v>
      </c>
    </row>
    <row r="927">
      <c r="A927" t="str">
        <v>PO-Y-17</v>
      </c>
      <c r="B927" t="str">
        <v>pokemon</v>
      </c>
      <c r="C927" t="str">
        <v>HAWLUCHA</v>
      </c>
      <c r="D927" t="str">
        <v>SVI 118/198</v>
      </c>
      <c r="E927" t="str">
        <v>holo</v>
      </c>
      <c r="F927" t="str">
        <v>HCM</v>
      </c>
      <c r="G927">
        <v>4</v>
      </c>
      <c r="H927">
        <v>1</v>
      </c>
      <c r="K927">
        <f>J927+H927-I927</f>
        <v>1</v>
      </c>
      <c r="L927">
        <f>G927*K927</f>
        <v>4</v>
      </c>
    </row>
    <row r="928">
      <c r="A928" t="str">
        <v>PO-Y-17</v>
      </c>
      <c r="B928" t="str">
        <v>pokemon</v>
      </c>
      <c r="C928" t="str">
        <v>HAWLUCHA</v>
      </c>
      <c r="D928" t="str">
        <v>SVI 118/198</v>
      </c>
      <c r="E928" t="str">
        <v>normal</v>
      </c>
      <c r="F928" t="str">
        <v>HCM</v>
      </c>
      <c r="G928">
        <v>3</v>
      </c>
      <c r="H928">
        <v>3</v>
      </c>
      <c r="K928">
        <f>J928+H928-I928</f>
        <v>3</v>
      </c>
      <c r="L928">
        <f>G928*K928</f>
        <v>9</v>
      </c>
    </row>
    <row r="929">
      <c r="A929" t="str">
        <v>PO-Y-42</v>
      </c>
      <c r="B929" t="str">
        <v>pokemon</v>
      </c>
      <c r="C929" t="str">
        <v>ETHAN'S SUDOWOODO</v>
      </c>
      <c r="D929" t="str">
        <v>DRI 093/182</v>
      </c>
      <c r="E929" t="str">
        <v>normal</v>
      </c>
      <c r="F929" t="str">
        <v>HCM</v>
      </c>
      <c r="G929">
        <v>3</v>
      </c>
      <c r="H929">
        <v>2</v>
      </c>
      <c r="K929">
        <f>J929+H929-I929</f>
        <v>2</v>
      </c>
      <c r="L929">
        <f>G929*K929</f>
        <v>6</v>
      </c>
    </row>
    <row r="930">
      <c r="A930" t="str">
        <v>PO-Y-29</v>
      </c>
      <c r="B930" t="str">
        <v>pokemon</v>
      </c>
      <c r="C930" t="str">
        <v>LONO'S TADBULB</v>
      </c>
      <c r="D930" t="str">
        <v>ASC 096/217</v>
      </c>
      <c r="E930" t="str">
        <v>normal</v>
      </c>
      <c r="F930" t="str">
        <v>HCM</v>
      </c>
      <c r="G930">
        <v>4</v>
      </c>
      <c r="H930">
        <v>9</v>
      </c>
      <c r="K930">
        <f>J930+H930-I930</f>
        <v>9</v>
      </c>
      <c r="L930">
        <f>G930*K930</f>
        <v>36</v>
      </c>
    </row>
    <row r="931">
      <c r="A931" t="str">
        <v>PO-Y-29</v>
      </c>
      <c r="B931" t="str">
        <v>pokemon</v>
      </c>
      <c r="C931" t="str">
        <v>LONO'S TADBULB</v>
      </c>
      <c r="D931" t="str">
        <v>JTG 052/159</v>
      </c>
      <c r="E931" t="str">
        <v>normal</v>
      </c>
      <c r="F931" t="str">
        <v>HCM</v>
      </c>
      <c r="G931">
        <v>4</v>
      </c>
      <c r="H931">
        <v>3</v>
      </c>
      <c r="K931">
        <f>J931+H931-I931</f>
        <v>3</v>
      </c>
      <c r="L931">
        <f>G931*K931</f>
        <v>12</v>
      </c>
    </row>
    <row r="932">
      <c r="A932" t="str">
        <v>PO-Y-29</v>
      </c>
      <c r="B932" t="str">
        <v>pokemon</v>
      </c>
      <c r="C932" t="str">
        <v>LONO'S TADBULB</v>
      </c>
      <c r="D932" t="str">
        <v>JTG 052/159</v>
      </c>
      <c r="E932" t="str">
        <v>holo</v>
      </c>
      <c r="F932" t="str">
        <v>HCM</v>
      </c>
      <c r="G932">
        <v>5</v>
      </c>
      <c r="H932">
        <v>1</v>
      </c>
      <c r="K932">
        <f>J932+H932-I932</f>
        <v>1</v>
      </c>
      <c r="L932">
        <f>G932*K932</f>
        <v>5</v>
      </c>
    </row>
    <row r="933">
      <c r="A933" t="str">
        <v>PO-Y-41</v>
      </c>
      <c r="B933" t="str">
        <v>pokemon</v>
      </c>
      <c r="C933" t="str">
        <v>SOLROCK</v>
      </c>
      <c r="D933" t="str">
        <v>MEG 075/132</v>
      </c>
      <c r="E933" t="str">
        <v>normal</v>
      </c>
      <c r="F933" t="str">
        <v>HCM</v>
      </c>
      <c r="G933">
        <v>5</v>
      </c>
      <c r="H933">
        <v>7</v>
      </c>
      <c r="K933">
        <f>J933+H933-I933</f>
        <v>7</v>
      </c>
      <c r="L933">
        <f>G933*K933</f>
        <v>35</v>
      </c>
    </row>
    <row r="934">
      <c r="A934" t="str">
        <v>PO-Y-41</v>
      </c>
      <c r="B934" t="str">
        <v>pokemon</v>
      </c>
      <c r="C934" t="str">
        <v>SOLROCK</v>
      </c>
      <c r="D934" t="str">
        <v>MEG 075/132</v>
      </c>
      <c r="E934" t="str">
        <v>holo</v>
      </c>
      <c r="F934" t="str">
        <v>HCM</v>
      </c>
      <c r="G934">
        <v>6</v>
      </c>
      <c r="H934">
        <v>1</v>
      </c>
      <c r="K934">
        <f>J934+H934-I934</f>
        <v>1</v>
      </c>
      <c r="L934">
        <f>G934*K934</f>
        <v>6</v>
      </c>
    </row>
    <row r="935">
      <c r="A935" t="str">
        <v>PO-Y-41</v>
      </c>
      <c r="B935" t="str">
        <v>pokemon</v>
      </c>
      <c r="C935" t="str">
        <v>SOLROCK</v>
      </c>
      <c r="D935" t="str">
        <v>ASC 016/217</v>
      </c>
      <c r="E935" t="str">
        <v>normal</v>
      </c>
      <c r="F935" t="str">
        <v>HCM</v>
      </c>
      <c r="G935">
        <v>5</v>
      </c>
      <c r="H935">
        <v>5</v>
      </c>
      <c r="K935">
        <f>J935+H935-I935</f>
        <v>5</v>
      </c>
      <c r="L935">
        <f>G935*K935</f>
        <v>25</v>
      </c>
    </row>
    <row r="936">
      <c r="A936" t="str">
        <v>PO-Y-31</v>
      </c>
      <c r="B936" t="str">
        <v>pokemon</v>
      </c>
      <c r="C936" t="str">
        <v>TATSUGIRI</v>
      </c>
      <c r="D936" t="str">
        <v>TWM 131/167</v>
      </c>
      <c r="E936" t="str">
        <v>normal</v>
      </c>
      <c r="F936" t="str">
        <v>HCM</v>
      </c>
      <c r="G936">
        <v>3</v>
      </c>
      <c r="H936">
        <v>13</v>
      </c>
      <c r="K936">
        <f>J936+H936-I936</f>
        <v>13</v>
      </c>
      <c r="L936">
        <f>G936*K936</f>
        <v>39</v>
      </c>
    </row>
    <row r="937">
      <c r="A937" t="str">
        <v>PO-Y-31</v>
      </c>
      <c r="B937" t="str">
        <v>pokemon</v>
      </c>
      <c r="C937" t="str">
        <v>TATSUGIRI</v>
      </c>
      <c r="D937" t="str">
        <v>TWM 131/167</v>
      </c>
      <c r="E937" t="str">
        <v>holo</v>
      </c>
      <c r="F937" t="str">
        <v>HCM</v>
      </c>
      <c r="G937">
        <v>4</v>
      </c>
      <c r="H937">
        <v>5</v>
      </c>
      <c r="K937">
        <f>J937+H937-I937</f>
        <v>5</v>
      </c>
      <c r="L937">
        <f>G937*K937</f>
        <v>20</v>
      </c>
    </row>
    <row r="938">
      <c r="A938" t="str">
        <v>PO-Y-33</v>
      </c>
      <c r="B938" t="str">
        <v>pokemon</v>
      </c>
      <c r="C938" t="str">
        <v>TYNAMO</v>
      </c>
      <c r="D938" t="str">
        <v>ASC 059/217</v>
      </c>
      <c r="E938" t="str">
        <v>holo</v>
      </c>
      <c r="F938" t="str">
        <v>HCM</v>
      </c>
      <c r="G938">
        <v>4</v>
      </c>
      <c r="H938">
        <v>1</v>
      </c>
      <c r="K938">
        <f>J938+H938-I938</f>
        <v>1</v>
      </c>
      <c r="L938">
        <f>G938*K938</f>
        <v>4</v>
      </c>
    </row>
    <row r="939">
      <c r="A939" t="str">
        <v>PO-Y-33</v>
      </c>
      <c r="B939" t="str">
        <v>pokemon</v>
      </c>
      <c r="C939" t="str">
        <v>TYNAMO</v>
      </c>
      <c r="D939" t="str">
        <v>ASC 059/217</v>
      </c>
      <c r="E939" t="str">
        <v>normal</v>
      </c>
      <c r="F939" t="str">
        <v>HCM</v>
      </c>
      <c r="G939">
        <v>3</v>
      </c>
      <c r="H939">
        <v>9</v>
      </c>
      <c r="K939">
        <f>J939+H939-I939</f>
        <v>9</v>
      </c>
      <c r="L939">
        <f>G939*K939</f>
        <v>27</v>
      </c>
    </row>
    <row r="940">
      <c r="A940" t="str">
        <v>PO-Y-33</v>
      </c>
      <c r="B940" t="str">
        <v>pokemon</v>
      </c>
      <c r="C940" t="str">
        <v>TYNAMO</v>
      </c>
      <c r="D940" t="str">
        <v>BLK 030/086</v>
      </c>
      <c r="E940" t="str">
        <v>normal</v>
      </c>
      <c r="F940" t="str">
        <v>HCM</v>
      </c>
      <c r="G940">
        <v>3</v>
      </c>
      <c r="H940">
        <v>15</v>
      </c>
      <c r="K940">
        <f>J940+H940-I940</f>
        <v>15</v>
      </c>
      <c r="L940">
        <f>G940*K940</f>
        <v>45</v>
      </c>
    </row>
    <row r="941">
      <c r="A941" t="str">
        <v>PO-Y-33</v>
      </c>
      <c r="B941" t="str">
        <v>pokemon</v>
      </c>
      <c r="C941" t="str">
        <v>TYNAMO</v>
      </c>
      <c r="D941" t="str">
        <v>BLK 030/086</v>
      </c>
      <c r="E941" t="str">
        <v>holo</v>
      </c>
      <c r="F941" t="str">
        <v>HCM</v>
      </c>
      <c r="G941">
        <v>4</v>
      </c>
      <c r="H941">
        <v>1</v>
      </c>
      <c r="K941">
        <f>J941+H941-I941</f>
        <v>1</v>
      </c>
      <c r="L941">
        <f>G941*K941</f>
        <v>4</v>
      </c>
    </row>
    <row r="942">
      <c r="A942" t="str">
        <v>PO-R-05</v>
      </c>
      <c r="B942" t="str">
        <v>pokemon</v>
      </c>
      <c r="C942" t="str">
        <v xml:space="preserve">CHI - YU </v>
      </c>
      <c r="D942" t="str">
        <v>MEG 031/132</v>
      </c>
      <c r="E942" t="str">
        <v>normal</v>
      </c>
      <c r="F942" t="str">
        <v>HCM</v>
      </c>
      <c r="G942">
        <v>3</v>
      </c>
      <c r="H942">
        <v>1</v>
      </c>
      <c r="K942">
        <f>J942+H942-I942</f>
        <v>1</v>
      </c>
      <c r="L942">
        <f>G942*K942</f>
        <v>3</v>
      </c>
    </row>
    <row r="943">
      <c r="A943" t="str">
        <v>PO-R-05</v>
      </c>
      <c r="B943" t="str">
        <v>pokemon</v>
      </c>
      <c r="C943" t="str">
        <v xml:space="preserve">CHI - YU </v>
      </c>
      <c r="D943" t="str">
        <v>TWM 039/167</v>
      </c>
      <c r="E943" t="str">
        <v>normal</v>
      </c>
      <c r="F943" t="str">
        <v>HCM</v>
      </c>
      <c r="G943">
        <v>3</v>
      </c>
      <c r="H943">
        <v>1</v>
      </c>
      <c r="K943">
        <f>J943+H943-I943</f>
        <v>1</v>
      </c>
      <c r="L943">
        <f>G943*K943</f>
        <v>3</v>
      </c>
    </row>
    <row r="944">
      <c r="A944" t="str">
        <v>PO-R-05</v>
      </c>
      <c r="B944" t="str">
        <v>pokemon</v>
      </c>
      <c r="C944" t="str">
        <v xml:space="preserve">CHI - YU </v>
      </c>
      <c r="D944" t="str">
        <v>PAR 029/182</v>
      </c>
      <c r="E944" t="str">
        <v>holo</v>
      </c>
      <c r="F944" t="str">
        <v>HCM</v>
      </c>
      <c r="G944">
        <v>3</v>
      </c>
      <c r="H944">
        <v>2</v>
      </c>
      <c r="K944">
        <f>J944+H944-I944</f>
        <v>2</v>
      </c>
      <c r="L944">
        <f>G944*K944</f>
        <v>6</v>
      </c>
    </row>
    <row r="945">
      <c r="A945" t="str">
        <v>PO-R-15</v>
      </c>
      <c r="B945" t="str">
        <v>pokemon</v>
      </c>
      <c r="C945" t="str">
        <v xml:space="preserve">LAMPENT </v>
      </c>
      <c r="D945" t="str">
        <v>TWM 037/167</v>
      </c>
      <c r="E945" t="str">
        <v>normal</v>
      </c>
      <c r="F945" t="str">
        <v>HCM</v>
      </c>
      <c r="G945">
        <v>4</v>
      </c>
      <c r="H945">
        <v>1</v>
      </c>
      <c r="K945">
        <f>J945+H945-I945</f>
        <v>1</v>
      </c>
      <c r="L945">
        <f>G945*K945</f>
        <v>4</v>
      </c>
    </row>
    <row r="946">
      <c r="A946" t="str">
        <v>PO-R-02</v>
      </c>
      <c r="B946" t="str">
        <v>pokemon</v>
      </c>
      <c r="C946" t="str">
        <v>CHARCADET</v>
      </c>
      <c r="D946" t="str">
        <v>PFL 019/094</v>
      </c>
      <c r="E946" t="str">
        <v>normal</v>
      </c>
      <c r="F946" t="str">
        <v>HCM</v>
      </c>
      <c r="G946">
        <v>4</v>
      </c>
      <c r="H946">
        <v>1</v>
      </c>
      <c r="K946">
        <f>J946+H946-I946</f>
        <v>1</v>
      </c>
      <c r="L946">
        <f>G946*K946</f>
        <v>4</v>
      </c>
    </row>
    <row r="947">
      <c r="A947" t="str">
        <v>PO-R-02</v>
      </c>
      <c r="B947" t="str">
        <v>pokemon</v>
      </c>
      <c r="C947" t="str">
        <v>CHARCADET</v>
      </c>
      <c r="D947" t="str">
        <v>PAR 026/182</v>
      </c>
      <c r="E947" t="str">
        <v>normal</v>
      </c>
      <c r="F947" t="str">
        <v>HCM</v>
      </c>
      <c r="G947">
        <v>3</v>
      </c>
      <c r="H947">
        <v>3</v>
      </c>
      <c r="K947">
        <f>J947+H947-I947</f>
        <v>3</v>
      </c>
      <c r="L947">
        <f>G947*K947</f>
        <v>9</v>
      </c>
    </row>
    <row r="948">
      <c r="A948" t="str">
        <v>PO-R-01</v>
      </c>
      <c r="B948" t="str">
        <v>pokemon</v>
      </c>
      <c r="C948" t="str">
        <v>ARMAROUGE</v>
      </c>
      <c r="D948" t="str">
        <v>SVI 041/198</v>
      </c>
      <c r="E948" t="str">
        <v>holo</v>
      </c>
      <c r="F948" t="str">
        <v>HCM</v>
      </c>
      <c r="G948">
        <v>3</v>
      </c>
      <c r="H948">
        <v>2</v>
      </c>
      <c r="K948">
        <f>J948+H948-I948</f>
        <v>2</v>
      </c>
      <c r="L948">
        <f>G948*K948</f>
        <v>6</v>
      </c>
    </row>
    <row r="949">
      <c r="A949" t="str">
        <v>PO-R-19</v>
      </c>
      <c r="B949" t="str">
        <v>pokemon</v>
      </c>
      <c r="C949" t="str">
        <v>TEPIG</v>
      </c>
      <c r="D949" t="str">
        <v>WHT 011/086</v>
      </c>
      <c r="E949" t="str">
        <v>holo</v>
      </c>
      <c r="F949" t="str">
        <v>HCM</v>
      </c>
      <c r="G949">
        <v>4</v>
      </c>
      <c r="H949">
        <v>2</v>
      </c>
      <c r="K949">
        <f>J949+H949-I949</f>
        <v>2</v>
      </c>
      <c r="L949">
        <f>G949*K949</f>
        <v>8</v>
      </c>
    </row>
    <row r="950">
      <c r="A950" t="str">
        <v>SUP-01</v>
      </c>
      <c r="B950" t="str">
        <v>suppoter</v>
      </c>
      <c r="C950" t="str">
        <v>ARVEN</v>
      </c>
      <c r="D950" t="str">
        <v>SVI 166/198</v>
      </c>
      <c r="E950" t="str">
        <v>holo</v>
      </c>
      <c r="F950" t="str">
        <v>HCM</v>
      </c>
      <c r="G950">
        <v>5</v>
      </c>
      <c r="H950">
        <v>1</v>
      </c>
      <c r="K950">
        <f>J950+H950-I950</f>
        <v>1</v>
      </c>
      <c r="L950">
        <f>G950*K950</f>
        <v>5</v>
      </c>
    </row>
    <row r="951">
      <c r="A951" t="str">
        <v>SUP-01</v>
      </c>
      <c r="B951" t="str">
        <v>suppoter</v>
      </c>
      <c r="C951" t="str">
        <v>ARVEN</v>
      </c>
      <c r="D951" t="str">
        <v>OBF 186/197</v>
      </c>
      <c r="E951" t="str">
        <v>normal</v>
      </c>
      <c r="F951" t="str">
        <v>HCM</v>
      </c>
      <c r="G951">
        <v>4</v>
      </c>
      <c r="H951">
        <v>1</v>
      </c>
      <c r="K951">
        <f>J951+H951-I951</f>
        <v>1</v>
      </c>
      <c r="L951">
        <f>G951*K951</f>
        <v>4</v>
      </c>
    </row>
    <row r="952">
      <c r="A952" t="str">
        <v>SUP-01</v>
      </c>
      <c r="B952" t="str">
        <v>suppoter</v>
      </c>
      <c r="C952" t="str">
        <v>ARVEN</v>
      </c>
      <c r="D952" t="str">
        <v>SVI 166/198</v>
      </c>
      <c r="E952" t="str">
        <v>normal</v>
      </c>
      <c r="F952" t="str">
        <v>HCM</v>
      </c>
      <c r="G952">
        <v>4</v>
      </c>
      <c r="H952">
        <v>4</v>
      </c>
      <c r="K952">
        <f>J952+H952-I952</f>
        <v>4</v>
      </c>
      <c r="L952">
        <f>G952*K952</f>
        <v>16</v>
      </c>
    </row>
    <row r="953">
      <c r="A953" t="str">
        <v>SUP-31</v>
      </c>
      <c r="B953" t="str">
        <v>suppoter</v>
      </c>
      <c r="C953" t="str">
        <v>LUCIAN</v>
      </c>
      <c r="D953" t="str">
        <v>TWM 157/167</v>
      </c>
      <c r="E953" t="str">
        <v>normal</v>
      </c>
      <c r="F953" t="str">
        <v>HCM</v>
      </c>
      <c r="G953">
        <v>4</v>
      </c>
      <c r="H953">
        <v>1</v>
      </c>
      <c r="K953">
        <f>J953+H953-I953</f>
        <v>1</v>
      </c>
      <c r="L953">
        <f>G953*K953</f>
        <v>4</v>
      </c>
    </row>
    <row r="954">
      <c r="A954" t="str">
        <v>SUP-49</v>
      </c>
      <c r="B954" t="str">
        <v>suppoter</v>
      </c>
      <c r="C954" t="str">
        <v>PENNY</v>
      </c>
      <c r="D954" t="str">
        <v>SVI 183/198</v>
      </c>
      <c r="E954" t="str">
        <v>normal</v>
      </c>
      <c r="F954" t="str">
        <v>HCM</v>
      </c>
      <c r="G954">
        <v>4</v>
      </c>
      <c r="H954">
        <v>1</v>
      </c>
      <c r="K954">
        <f>J954+H954-I954</f>
        <v>1</v>
      </c>
      <c r="L954">
        <f>G954*K954</f>
        <v>4</v>
      </c>
    </row>
    <row r="955">
      <c r="A955" t="str">
        <v>PO-W-35</v>
      </c>
      <c r="B955" t="str">
        <v>pokemon</v>
      </c>
      <c r="C955" t="str">
        <v>Fletchling</v>
      </c>
      <c r="D955" t="str">
        <v>POR 66/68</v>
      </c>
      <c r="E955" t="str">
        <v>normal</v>
      </c>
      <c r="F955" t="str">
        <v>HCM</v>
      </c>
      <c r="G955">
        <v>2</v>
      </c>
      <c r="H955">
        <v>12</v>
      </c>
      <c r="K955">
        <f>J955+H955-I955</f>
        <v>12</v>
      </c>
      <c r="L955">
        <f>G955*K955</f>
        <v>24</v>
      </c>
    </row>
    <row r="956">
      <c r="A956" t="str">
        <v>PO-W-35</v>
      </c>
      <c r="B956" t="str">
        <v>pokemon</v>
      </c>
      <c r="C956" t="str">
        <v>Fletchling</v>
      </c>
      <c r="D956" t="str">
        <v>POR 66/68</v>
      </c>
      <c r="E956" t="str">
        <v>holo</v>
      </c>
      <c r="F956" t="str">
        <v>HCM</v>
      </c>
      <c r="G956">
        <v>3</v>
      </c>
      <c r="H956">
        <v>3</v>
      </c>
      <c r="K956">
        <f>J956+H956-I956</f>
        <v>3</v>
      </c>
      <c r="L956">
        <f>G956*K956</f>
        <v>9</v>
      </c>
    </row>
    <row r="957">
      <c r="A957" t="str">
        <v>PO-Y-50</v>
      </c>
      <c r="B957" t="str">
        <v>pokemon</v>
      </c>
      <c r="C957" t="str">
        <v>RANGING BOLT</v>
      </c>
      <c r="D957" t="str">
        <v>SCR 111/142</v>
      </c>
      <c r="E957" t="str">
        <v>normal</v>
      </c>
      <c r="F957" t="str">
        <v>HCM</v>
      </c>
      <c r="G957">
        <v>4</v>
      </c>
      <c r="H957">
        <v>1</v>
      </c>
      <c r="K957">
        <f>J957+H957-I957</f>
        <v>1</v>
      </c>
      <c r="L957">
        <f>G957*K957</f>
        <v>4</v>
      </c>
    </row>
    <row r="958">
      <c r="A958" t="str">
        <v>PO-Y-49</v>
      </c>
      <c r="B958" t="str">
        <v>pokemon</v>
      </c>
      <c r="C958" t="str">
        <v>DRAGONAIR</v>
      </c>
      <c r="D958" t="str">
        <v>ASC 151/217</v>
      </c>
      <c r="E958" t="str">
        <v>normal</v>
      </c>
      <c r="F958" t="str">
        <v>HCM</v>
      </c>
      <c r="G958">
        <v>4</v>
      </c>
      <c r="H958">
        <v>3</v>
      </c>
      <c r="K958">
        <f>J958+H958-I958</f>
        <v>3</v>
      </c>
      <c r="L958">
        <f>G958*K958</f>
        <v>12</v>
      </c>
    </row>
    <row r="959">
      <c r="A959" t="str">
        <v>PO-Y-52</v>
      </c>
      <c r="B959" t="str">
        <v>pokemon</v>
      </c>
      <c r="C959" t="str">
        <v>DRATINI</v>
      </c>
      <c r="D959" t="str">
        <v>ASC 150/217</v>
      </c>
      <c r="E959" t="str">
        <v>normal</v>
      </c>
      <c r="F959" t="str">
        <v>HCM</v>
      </c>
      <c r="G959">
        <v>4</v>
      </c>
      <c r="H959">
        <v>12</v>
      </c>
      <c r="K959">
        <f>J959+H959-I959</f>
        <v>12</v>
      </c>
      <c r="L959">
        <f>G959*K959</f>
        <v>48</v>
      </c>
    </row>
    <row r="960">
      <c r="A960" t="str">
        <v>PO-Y-51</v>
      </c>
      <c r="B960" t="str">
        <v>pokemon</v>
      </c>
      <c r="C960" t="str">
        <v>N'S ZEKROM</v>
      </c>
      <c r="D960" t="str">
        <v>ASC 155/217</v>
      </c>
      <c r="E960" t="str">
        <v>normal</v>
      </c>
      <c r="F960" t="str">
        <v>HCM</v>
      </c>
      <c r="G960">
        <v>12</v>
      </c>
      <c r="H960">
        <v>4</v>
      </c>
      <c r="K960">
        <f>J960+H960-I960</f>
        <v>4</v>
      </c>
      <c r="L960">
        <f>G960*K960</f>
        <v>48</v>
      </c>
    </row>
    <row r="961">
      <c r="A961" t="str">
        <v>PO-LB-17</v>
      </c>
      <c r="B961" t="str">
        <v>pokemon</v>
      </c>
      <c r="C961" t="str">
        <v>PSYDUCK</v>
      </c>
      <c r="D961" t="str">
        <v>ASC 39/217</v>
      </c>
      <c r="E961" t="str">
        <v>normal</v>
      </c>
      <c r="F961" t="str">
        <v>HCM</v>
      </c>
      <c r="G961">
        <v>11</v>
      </c>
      <c r="H961">
        <v>8</v>
      </c>
      <c r="K961">
        <f>J961+H961-I961</f>
        <v>8</v>
      </c>
      <c r="L961">
        <f>G961*K961</f>
        <v>88</v>
      </c>
    </row>
    <row r="962">
      <c r="A962" t="str">
        <v>PO-LB-18</v>
      </c>
      <c r="B962" t="str">
        <v>pokemon</v>
      </c>
      <c r="C962" t="str">
        <v>GOLDUCK</v>
      </c>
      <c r="D962" t="str">
        <v>ASC 40/217</v>
      </c>
      <c r="E962" t="str">
        <v>normal</v>
      </c>
      <c r="F962" t="str">
        <v>HCM</v>
      </c>
      <c r="G962">
        <v>7</v>
      </c>
      <c r="H962">
        <v>6</v>
      </c>
      <c r="K962">
        <f>J962+H962-I962</f>
        <v>6</v>
      </c>
      <c r="L962">
        <f>G962*K962</f>
        <v>42</v>
      </c>
    </row>
    <row r="963">
      <c r="B963" t="str">
        <v>pokemon</v>
      </c>
      <c r="C963" t="str">
        <v>PIPPLUP</v>
      </c>
      <c r="D963" t="str">
        <v>PFL 27/94</v>
      </c>
      <c r="E963" t="str">
        <v>normal</v>
      </c>
      <c r="G963">
        <v>4</v>
      </c>
      <c r="K963">
        <f>J963+H963-I963</f>
        <v>0</v>
      </c>
      <c r="L963">
        <f>G963*K963</f>
        <v>0</v>
      </c>
    </row>
    <row r="964">
      <c r="B964" t="str">
        <v>pokemon</v>
      </c>
      <c r="C964" t="str">
        <v>PIPPLUP</v>
      </c>
      <c r="D964" t="str">
        <v>PFL 27/94</v>
      </c>
      <c r="E964" t="str">
        <v>normal</v>
      </c>
      <c r="G964">
        <v>4</v>
      </c>
      <c r="K964">
        <f>J964+H964-I964</f>
        <v>0</v>
      </c>
      <c r="L964">
        <f>G964*K964</f>
        <v>0</v>
      </c>
    </row>
    <row r="965">
      <c r="A965" t="str">
        <v>PO-P-33</v>
      </c>
      <c r="B965" t="str">
        <v>pokemon</v>
      </c>
      <c r="C965" t="str">
        <v>SLOWKING</v>
      </c>
      <c r="D965" t="str">
        <v>SCR 58/142</v>
      </c>
      <c r="E965" t="str">
        <v>normal</v>
      </c>
      <c r="F965" t="str">
        <v>HCM</v>
      </c>
      <c r="G965">
        <v>4</v>
      </c>
      <c r="H965">
        <v>1</v>
      </c>
      <c r="K965">
        <f>J965+H965-I965</f>
        <v>1</v>
      </c>
      <c r="L965">
        <f>G965*K965</f>
        <v>4</v>
      </c>
    </row>
    <row r="966">
      <c r="A966" t="str">
        <v>PO-P-34</v>
      </c>
      <c r="B966" t="str">
        <v>pokemon</v>
      </c>
      <c r="C966" t="str">
        <v>DEDENNE</v>
      </c>
      <c r="D966" t="str">
        <v>SSP 87/191</v>
      </c>
      <c r="E966" t="str">
        <v>normal</v>
      </c>
      <c r="F966" t="str">
        <v>HCM</v>
      </c>
      <c r="G966">
        <v>4</v>
      </c>
      <c r="H966">
        <v>1</v>
      </c>
      <c r="K966">
        <f>J966+H966-I966</f>
        <v>1</v>
      </c>
      <c r="L966">
        <f>G966*K966</f>
        <v>4</v>
      </c>
    </row>
    <row r="967">
      <c r="A967" t="str">
        <v>STA-05</v>
      </c>
      <c r="B967" t="str">
        <v>stadium</v>
      </c>
      <c r="C967" t="str">
        <v>CALAMITOUS WASTELAND</v>
      </c>
      <c r="D967" t="str">
        <v>PAL 175/193</v>
      </c>
      <c r="E967" t="str">
        <v>normal</v>
      </c>
      <c r="G967">
        <v>2</v>
      </c>
      <c r="H967">
        <v>1</v>
      </c>
      <c r="K967">
        <f>J967+H967-I967</f>
        <v>1</v>
      </c>
      <c r="L967">
        <f>G967*K967</f>
        <v>2</v>
      </c>
    </row>
    <row r="968">
      <c r="A968" t="str">
        <v>STA-15</v>
      </c>
      <c r="B968" t="str">
        <v>stadium</v>
      </c>
      <c r="C968" t="str">
        <v>MESAGOZA</v>
      </c>
      <c r="D968" t="str">
        <v>SVI 178/198</v>
      </c>
      <c r="E968" t="str">
        <v>normal</v>
      </c>
      <c r="G968">
        <v>3</v>
      </c>
      <c r="H968">
        <v>2</v>
      </c>
      <c r="K968">
        <f>J968+H968-I968</f>
        <v>2</v>
      </c>
    </row>
    <row r="969">
      <c r="A969" t="str">
        <v>STA-18</v>
      </c>
      <c r="B969" t="str">
        <v>stadium</v>
      </c>
      <c r="C969" t="str">
        <v xml:space="preserve">NIGHTTIME MINE </v>
      </c>
      <c r="D969" t="str">
        <v>ASC 197/217</v>
      </c>
      <c r="E969" t="str">
        <v>normal</v>
      </c>
      <c r="G969">
        <v>3</v>
      </c>
      <c r="H969">
        <v>1</v>
      </c>
      <c r="K969">
        <f>J969+H969-I969</f>
        <v>1</v>
      </c>
    </row>
    <row r="970">
      <c r="A970" t="str">
        <v>IT-01</v>
      </c>
      <c r="B970" t="str">
        <v>item</v>
      </c>
      <c r="C970" t="str">
        <v>AIR BALLON</v>
      </c>
      <c r="D970" t="str">
        <v>D 156/202</v>
      </c>
      <c r="E970" t="str">
        <v>normal</v>
      </c>
      <c r="F970" t="str">
        <v>HCM</v>
      </c>
      <c r="G970">
        <v>13</v>
      </c>
      <c r="H970">
        <v>2</v>
      </c>
      <c r="K970">
        <f>J970+H970-I970</f>
        <v>2</v>
      </c>
    </row>
    <row r="971">
      <c r="A971" t="str">
        <v>IT-07</v>
      </c>
      <c r="B971" t="str">
        <v>item</v>
      </c>
      <c r="C971" t="str">
        <v xml:space="preserve">COUNTER GAIN </v>
      </c>
      <c r="D971" t="str">
        <v>LOST THUNDER 170/214</v>
      </c>
      <c r="E971" t="str">
        <v>normal</v>
      </c>
      <c r="F971" t="str">
        <v>HCM</v>
      </c>
      <c r="G971">
        <v>7</v>
      </c>
      <c r="H971">
        <v>1</v>
      </c>
      <c r="K971">
        <f>J971+H971-I971</f>
        <v>1</v>
      </c>
    </row>
    <row r="972">
      <c r="A972" t="str">
        <v>IT-10</v>
      </c>
      <c r="B972" t="str">
        <v>item</v>
      </c>
      <c r="C972" t="str">
        <v>DUSKBALL</v>
      </c>
      <c r="D972" t="str">
        <v>SSP 175/191</v>
      </c>
      <c r="E972" t="str">
        <v>normal</v>
      </c>
      <c r="F972" t="str">
        <v>HCM</v>
      </c>
      <c r="G972">
        <v>3</v>
      </c>
      <c r="H972">
        <v>3</v>
      </c>
      <c r="K972">
        <f>J972+H972-I972</f>
        <v>3</v>
      </c>
    </row>
    <row r="973">
      <c r="A973" t="str">
        <v>IT-14</v>
      </c>
      <c r="B973" t="str">
        <v>item</v>
      </c>
      <c r="C973" t="str">
        <v>ENERGY RECYCLER</v>
      </c>
      <c r="D973" t="str">
        <v>DRI 164/182</v>
      </c>
      <c r="E973" t="str">
        <v>normal</v>
      </c>
      <c r="F973" t="str">
        <v>HCM</v>
      </c>
      <c r="G973">
        <v>3</v>
      </c>
      <c r="H973">
        <v>2</v>
      </c>
      <c r="K973">
        <f>J973+H973-I973</f>
        <v>2</v>
      </c>
    </row>
    <row r="974">
      <c r="A974" t="str">
        <v>IT-25</v>
      </c>
      <c r="B974" t="str">
        <v>item</v>
      </c>
      <c r="C974" t="str">
        <v>IRON DEFENDER</v>
      </c>
      <c r="D974" t="str">
        <v>MEG 118/132</v>
      </c>
      <c r="E974" t="str">
        <v>holo</v>
      </c>
      <c r="F974" t="str">
        <v>HCM</v>
      </c>
      <c r="G974">
        <v>4</v>
      </c>
      <c r="H974">
        <v>1</v>
      </c>
      <c r="K974">
        <f>J974+H974-I974</f>
        <v>1</v>
      </c>
    </row>
    <row r="975">
      <c r="A975" t="str">
        <v>IT-26</v>
      </c>
      <c r="B975" t="str">
        <v>item</v>
      </c>
      <c r="C975" t="str">
        <v>LETTER OF ENCOURAGEMENT</v>
      </c>
      <c r="D975" t="str">
        <v>OBF 189/197</v>
      </c>
      <c r="E975" t="str">
        <v>normal</v>
      </c>
      <c r="F975" t="str">
        <v>HCM</v>
      </c>
      <c r="G975">
        <v>3</v>
      </c>
      <c r="H975">
        <v>2</v>
      </c>
      <c r="K975">
        <f>J975+H975-I975</f>
        <v>2</v>
      </c>
    </row>
    <row r="976">
      <c r="A976" t="str">
        <v>IT-28</v>
      </c>
      <c r="B976" t="str">
        <v>item</v>
      </c>
      <c r="C976" t="str">
        <v>MEDDLING MEMO</v>
      </c>
      <c r="D976" t="str">
        <v>SSP 181/191</v>
      </c>
      <c r="E976" t="str">
        <v>normal</v>
      </c>
      <c r="F976" t="str">
        <v>HCM</v>
      </c>
      <c r="G976">
        <v>2</v>
      </c>
      <c r="H976">
        <v>4</v>
      </c>
      <c r="K976">
        <f>J976+H976-I976</f>
        <v>4</v>
      </c>
    </row>
    <row r="977">
      <c r="A977" t="str">
        <v>IT-31</v>
      </c>
      <c r="B977" t="str">
        <v>item</v>
      </c>
      <c r="C977" t="str">
        <v>NEST BALL</v>
      </c>
      <c r="D977" t="str">
        <v>SVI 181/198</v>
      </c>
      <c r="E977" t="str">
        <v>normal</v>
      </c>
      <c r="F977" t="str">
        <v>HCM</v>
      </c>
      <c r="G977">
        <v>3</v>
      </c>
      <c r="H977">
        <v>3</v>
      </c>
      <c r="K977">
        <f>J977+H977-I977</f>
        <v>3</v>
      </c>
    </row>
    <row r="978">
      <c r="A978" t="str">
        <v>IT-31</v>
      </c>
      <c r="B978" t="str">
        <v>item</v>
      </c>
      <c r="C978" t="str">
        <v>NEST BALL</v>
      </c>
      <c r="D978" t="str">
        <v>123/149</v>
      </c>
      <c r="E978" t="str">
        <v>normal</v>
      </c>
      <c r="F978" t="str">
        <v>HCM</v>
      </c>
      <c r="G978">
        <v>3</v>
      </c>
      <c r="H978">
        <v>3</v>
      </c>
      <c r="K978">
        <f>J978+H978-I978</f>
        <v>3</v>
      </c>
    </row>
    <row r="979">
      <c r="A979" t="str">
        <v>IT-40</v>
      </c>
      <c r="B979" t="str">
        <v>item</v>
      </c>
      <c r="C979" t="str">
        <v>TEAM ROCKET'S BOTHER-BOT</v>
      </c>
      <c r="D979" t="str">
        <v>DRI 178/182</v>
      </c>
      <c r="E979" t="str">
        <v>normal</v>
      </c>
      <c r="F979" t="str">
        <v>HCM</v>
      </c>
      <c r="G979">
        <v>2</v>
      </c>
      <c r="H979">
        <v>3</v>
      </c>
      <c r="K979">
        <f>J979+H979-I979</f>
        <v>3</v>
      </c>
    </row>
    <row r="980">
      <c r="A980" t="str">
        <v>IT-41</v>
      </c>
      <c r="B980" t="str">
        <v>item</v>
      </c>
      <c r="C980" t="str">
        <v>TEAM ROCKET'S GREAT BALL</v>
      </c>
      <c r="D980" t="str">
        <v>DRI 175/182</v>
      </c>
      <c r="E980" t="str">
        <v>normal</v>
      </c>
      <c r="F980" t="str">
        <v>HCM</v>
      </c>
      <c r="G980">
        <v>2</v>
      </c>
      <c r="H980">
        <v>1</v>
      </c>
      <c r="K980">
        <f>J980+H980-I980</f>
        <v>1</v>
      </c>
    </row>
    <row r="981">
      <c r="A981" t="str">
        <v>IT-51</v>
      </c>
      <c r="B981" t="str">
        <v>item</v>
      </c>
      <c r="C981" t="str">
        <v>SACRED ASH</v>
      </c>
      <c r="D981" t="str">
        <v>DRI 168/182</v>
      </c>
      <c r="E981" t="str">
        <v>normal</v>
      </c>
      <c r="F981" t="str">
        <v>HCM</v>
      </c>
      <c r="G981">
        <v>7</v>
      </c>
      <c r="H981">
        <v>3</v>
      </c>
      <c r="K981">
        <f>J981+H981-I981</f>
        <v>3</v>
      </c>
    </row>
    <row r="982">
      <c r="A982" t="str">
        <v>IT-00</v>
      </c>
      <c r="B982" t="str">
        <v>item</v>
      </c>
      <c r="C982" t="str">
        <v>PRECIOUS TROLLEY</v>
      </c>
      <c r="D982" t="str">
        <v>SSP 185/191</v>
      </c>
      <c r="E982" t="str">
        <v>holo</v>
      </c>
      <c r="F982" t="str">
        <v>HCM</v>
      </c>
      <c r="G982">
        <v>80</v>
      </c>
      <c r="H982">
        <v>1</v>
      </c>
      <c r="K982">
        <f>J982+H982-I982</f>
        <v>1</v>
      </c>
    </row>
    <row r="983">
      <c r="A983" t="str">
        <v>PC-SUP-013</v>
      </c>
      <c r="B983" t="str">
        <v>suppoter</v>
      </c>
      <c r="C983" t="str">
        <v>IONO</v>
      </c>
      <c r="D983" t="str">
        <v>PAL 185/193</v>
      </c>
      <c r="E983" t="str">
        <v>holo</v>
      </c>
      <c r="F983" t="str">
        <v>HCM</v>
      </c>
      <c r="G983">
        <v>5</v>
      </c>
      <c r="H983">
        <v>1</v>
      </c>
      <c r="K983">
        <f>J983+H983-I983</f>
        <v>1</v>
      </c>
    </row>
    <row r="984">
      <c r="A984" t="str">
        <v>PC-SUP-014</v>
      </c>
      <c r="B984" t="str">
        <v>suppoter</v>
      </c>
      <c r="C984" t="str">
        <v>CRISPIN</v>
      </c>
      <c r="D984" t="str">
        <v>SCR 133/142</v>
      </c>
      <c r="E984" t="str">
        <v>normal</v>
      </c>
      <c r="F984" t="str">
        <v>HCM</v>
      </c>
      <c r="G984">
        <v>6</v>
      </c>
      <c r="H984">
        <v>1</v>
      </c>
      <c r="K984">
        <f>J984+H984-I984</f>
        <v>1</v>
      </c>
    </row>
    <row r="985">
      <c r="A985" t="str">
        <v>EX-G-03</v>
      </c>
      <c r="B985" t="str">
        <v>pokemon</v>
      </c>
      <c r="C985" t="str">
        <v>IRON LEAVES</v>
      </c>
      <c r="D985" t="str">
        <v>TEF 025/162</v>
      </c>
      <c r="E985" t="str">
        <v>ex</v>
      </c>
      <c r="F985" t="str">
        <v>HCM</v>
      </c>
      <c r="G985">
        <v>35</v>
      </c>
      <c r="H985">
        <v>1</v>
      </c>
      <c r="K985">
        <f>J985+H985-I985</f>
        <v>1</v>
      </c>
    </row>
    <row r="986">
      <c r="A986" t="str">
        <v>PO-DB-19</v>
      </c>
      <c r="B986" t="str">
        <v>pokemon</v>
      </c>
      <c r="C986" t="str">
        <v>SCRAGGY</v>
      </c>
      <c r="D986" t="str">
        <v>ASC 134/217</v>
      </c>
      <c r="E986" t="str">
        <v>normal</v>
      </c>
      <c r="F986" t="str">
        <v>HCM</v>
      </c>
      <c r="H986">
        <v>5</v>
      </c>
    </row>
    <row r="987">
      <c r="A987" t="str">
        <v>PO-DB-19</v>
      </c>
      <c r="B987" t="str">
        <v>pokemon</v>
      </c>
      <c r="C987" t="str">
        <v>SCRAGGY</v>
      </c>
      <c r="D987" t="str">
        <v>ASC 134/217</v>
      </c>
      <c r="E987" t="str">
        <v>holo</v>
      </c>
      <c r="F987" t="str">
        <v>HCM</v>
      </c>
      <c r="H987">
        <v>1</v>
      </c>
    </row>
    <row r="988">
      <c r="A988" t="str">
        <v>PO-DB-20</v>
      </c>
      <c r="B988" t="str">
        <v>pokemon</v>
      </c>
      <c r="C988" t="str">
        <v>TEAM ROCKET'S HONCHKROW</v>
      </c>
      <c r="D988" t="str">
        <v>ASC 127/217</v>
      </c>
      <c r="E988" t="str">
        <v>normal</v>
      </c>
      <c r="F988" t="str">
        <v>HCM</v>
      </c>
      <c r="H988">
        <v>5</v>
      </c>
    </row>
    <row r="989">
      <c r="A989" t="str">
        <v>PO-R-01A</v>
      </c>
      <c r="B989" t="str">
        <v>pokemon</v>
      </c>
      <c r="C989" t="str">
        <v>BLAZIKEN</v>
      </c>
      <c r="D989" t="str">
        <v>DRI 042/182</v>
      </c>
      <c r="E989" t="str">
        <v>normal</v>
      </c>
      <c r="F989" t="str">
        <v>HCM</v>
      </c>
      <c r="H989">
        <v>1</v>
      </c>
    </row>
    <row r="990">
      <c r="A990" t="str">
        <v>PO-P-36</v>
      </c>
      <c r="B990" t="str">
        <v>pokemon</v>
      </c>
      <c r="C990" t="str">
        <v>ESPURR</v>
      </c>
      <c r="D990" t="str">
        <v>POR 33/88</v>
      </c>
      <c r="E990" t="str">
        <v>normal</v>
      </c>
      <c r="F990" t="str">
        <v>HCM</v>
      </c>
      <c r="H990">
        <v>1</v>
      </c>
    </row>
    <row r="991">
      <c r="A991" t="str">
        <v>PO-Y-02A</v>
      </c>
      <c r="B991" t="str">
        <v>pokemon</v>
      </c>
      <c r="C991" t="str">
        <v>CARBINK</v>
      </c>
      <c r="D991" t="str">
        <v>ASC 117/217</v>
      </c>
      <c r="E991" t="str">
        <v>normal</v>
      </c>
      <c r="F991" t="str">
        <v>HCM</v>
      </c>
      <c r="H991">
        <v>1</v>
      </c>
    </row>
    <row r="992">
      <c r="A992" t="str">
        <v>PO-G-19</v>
      </c>
      <c r="B992" t="str">
        <v>pokemon</v>
      </c>
      <c r="C992" t="str">
        <v>SERPERIOR</v>
      </c>
      <c r="D992" t="str">
        <v>POR 006/088</v>
      </c>
      <c r="E992" t="str">
        <v>normal</v>
      </c>
      <c r="F992" t="str">
        <v>HCM</v>
      </c>
      <c r="H992">
        <v>4</v>
      </c>
    </row>
    <row r="993">
      <c r="A993" t="str">
        <v>PO-G-33</v>
      </c>
      <c r="B993" t="str">
        <v>pokemon</v>
      </c>
      <c r="C993" t="str">
        <v>SERVINE</v>
      </c>
      <c r="D993" t="str">
        <v>POR 005/088</v>
      </c>
      <c r="E993" t="str">
        <v>normal</v>
      </c>
      <c r="F993" t="str">
        <v>HCM</v>
      </c>
      <c r="H993">
        <v>14</v>
      </c>
    </row>
    <row r="994">
      <c r="A994" t="str">
        <v>PO-G-33</v>
      </c>
      <c r="B994" t="str">
        <v>pokemon</v>
      </c>
      <c r="C994" t="str">
        <v>SERVINE</v>
      </c>
      <c r="D994" t="str">
        <v>POR 005/088</v>
      </c>
      <c r="E994" t="str">
        <v>holo</v>
      </c>
      <c r="F994" t="str">
        <v>HCM</v>
      </c>
      <c r="H994">
        <v>2</v>
      </c>
    </row>
    <row r="995">
      <c r="A995" t="str">
        <v>PO-G-33</v>
      </c>
      <c r="B995" t="str">
        <v>pokemon</v>
      </c>
      <c r="C995" t="str">
        <v>SERVINE</v>
      </c>
      <c r="D995" t="str">
        <v>BLK 002/086</v>
      </c>
      <c r="E995" t="str">
        <v>normal</v>
      </c>
      <c r="F995" t="str">
        <v>HCM</v>
      </c>
      <c r="H995">
        <v>1</v>
      </c>
    </row>
    <row r="996">
      <c r="A996" t="str">
        <v>PO-G-34</v>
      </c>
      <c r="B996" t="str">
        <v>pokemon</v>
      </c>
      <c r="C996" t="str">
        <v>SNIVY</v>
      </c>
      <c r="D996" t="str">
        <v>POR 004/088</v>
      </c>
      <c r="E996" t="str">
        <v>normal</v>
      </c>
      <c r="F996" t="str">
        <v>HCM</v>
      </c>
      <c r="H996">
        <v>10</v>
      </c>
    </row>
    <row r="997">
      <c r="A997" t="str">
        <v>PO-G-34</v>
      </c>
      <c r="B997" t="str">
        <v>pokemon</v>
      </c>
      <c r="C997" t="str">
        <v>SNIVY</v>
      </c>
      <c r="D997" t="str">
        <v>POR 004/088</v>
      </c>
      <c r="E997" t="str">
        <v>holo</v>
      </c>
      <c r="F997" t="str">
        <v>HCM</v>
      </c>
      <c r="H997">
        <v>2</v>
      </c>
    </row>
    <row r="998">
      <c r="A998" t="str">
        <v>PO-G-34</v>
      </c>
      <c r="B998" t="str">
        <v>pokemon</v>
      </c>
      <c r="C998" t="str">
        <v>SNIVY</v>
      </c>
      <c r="D998" t="str">
        <v>BLK 001/086</v>
      </c>
      <c r="E998" t="str">
        <v>normal</v>
      </c>
      <c r="F998" t="str">
        <v>HCM</v>
      </c>
      <c r="H998">
        <v>2</v>
      </c>
    </row>
    <row r="999">
      <c r="A999" t="str">
        <v>PO-G-34</v>
      </c>
      <c r="B999" t="str">
        <v>pokemon</v>
      </c>
      <c r="C999" t="str">
        <v>SNIVY</v>
      </c>
      <c r="D999" t="str">
        <v>BLK 001/086</v>
      </c>
      <c r="E999" t="str">
        <v>holo</v>
      </c>
      <c r="F999" t="str">
        <v>HCM</v>
      </c>
      <c r="H999">
        <v>1</v>
      </c>
    </row>
    <row r="1000">
      <c r="A1000" t="str">
        <v>PO-W-36</v>
      </c>
      <c r="B1000" t="str">
        <v>pokemon</v>
      </c>
      <c r="C1000" t="str">
        <v>REGIGIAS</v>
      </c>
      <c r="D1000" t="str">
        <v>PRE 086/131</v>
      </c>
      <c r="E1000" t="str">
        <v>normal</v>
      </c>
      <c r="F1000" t="str">
        <v>HCM</v>
      </c>
      <c r="H1000">
        <v>6</v>
      </c>
    </row>
    <row r="1001">
      <c r="A1001" t="str">
        <v>SUP-51</v>
      </c>
      <c r="B1001" t="str">
        <v>suppoter</v>
      </c>
      <c r="C1001" t="str">
        <v>MORTY'S CONVICTION</v>
      </c>
      <c r="D1001" t="str">
        <v>TEF 155/162</v>
      </c>
      <c r="E1001" t="str">
        <v>normal</v>
      </c>
      <c r="F1001" t="str">
        <v>HCM</v>
      </c>
      <c r="H1001">
        <v>5</v>
      </c>
    </row>
    <row r="1002">
      <c r="A1002" t="str">
        <v>SUP-54</v>
      </c>
      <c r="B1002" t="str">
        <v>suppoter</v>
      </c>
      <c r="C1002" t="str">
        <v>CANARI</v>
      </c>
      <c r="D1002" t="str">
        <v>ASC 185/217</v>
      </c>
      <c r="E1002" t="str">
        <v>normal</v>
      </c>
      <c r="F1002" t="str">
        <v>HCM</v>
      </c>
      <c r="H1002">
        <v>5</v>
      </c>
    </row>
    <row r="1003">
      <c r="A1003" t="str">
        <v>SUP-55</v>
      </c>
      <c r="B1003" t="str">
        <v>suppoter</v>
      </c>
      <c r="C1003" t="str">
        <v>BILL'S TRANSFER</v>
      </c>
      <c r="D1003" t="str">
        <v>MEW 156/165</v>
      </c>
      <c r="E1003" t="str">
        <v>normal</v>
      </c>
      <c r="F1003" t="str">
        <v>HCM</v>
      </c>
      <c r="H1003">
        <v>1</v>
      </c>
    </row>
    <row r="1004">
      <c r="A1004" t="str">
        <v>SUP-56</v>
      </c>
      <c r="B1004" t="str">
        <v>suppoter</v>
      </c>
      <c r="C1004" t="str">
        <v>CARETAKER</v>
      </c>
      <c r="D1004" t="str">
        <v>TWM 144/167</v>
      </c>
      <c r="E1004" t="str">
        <v>normal</v>
      </c>
      <c r="F1004" t="str">
        <v>HCM</v>
      </c>
      <c r="H1004">
        <v>1</v>
      </c>
    </row>
    <row r="1005">
      <c r="A1005" t="str">
        <v>SUP-57</v>
      </c>
      <c r="B1005" t="str">
        <v>suppoter</v>
      </c>
      <c r="C1005" t="str">
        <v>CHEREN</v>
      </c>
      <c r="D1005" t="str">
        <v>WHT 081/086</v>
      </c>
      <c r="E1005" t="str">
        <v>normal</v>
      </c>
      <c r="F1005" t="str">
        <v>HCM</v>
      </c>
      <c r="H1005">
        <v>1</v>
      </c>
    </row>
    <row r="1006">
      <c r="A1006" t="str">
        <v>SUP-58</v>
      </c>
      <c r="B1006" t="str">
        <v>suppoter</v>
      </c>
      <c r="C1006" t="str">
        <v>COOK</v>
      </c>
      <c r="D1006" t="str">
        <v>TWM 147/167</v>
      </c>
      <c r="E1006" t="str">
        <v>normal</v>
      </c>
      <c r="F1006" t="str">
        <v>HCM</v>
      </c>
      <c r="H1006">
        <v>1</v>
      </c>
    </row>
    <row r="1007">
      <c r="A1007" t="str">
        <v>SUP-59</v>
      </c>
      <c r="B1007" t="str">
        <v>suppoter</v>
      </c>
      <c r="C1007" t="str">
        <v>FENNEL</v>
      </c>
      <c r="D1007" t="str">
        <v>BLK 082/086</v>
      </c>
      <c r="E1007" t="str">
        <v>normal</v>
      </c>
      <c r="F1007" t="str">
        <v>HCM</v>
      </c>
      <c r="H1007">
        <v>1</v>
      </c>
    </row>
    <row r="1008">
      <c r="A1008" t="str">
        <v>SUP-59</v>
      </c>
      <c r="B1008" t="str">
        <v>suppoter</v>
      </c>
      <c r="C1008" t="str">
        <v>FENNEL</v>
      </c>
      <c r="D1008" t="str">
        <v>BLK 082/086</v>
      </c>
      <c r="E1008" t="str">
        <v>holo</v>
      </c>
      <c r="F1008" t="str">
        <v>HCM</v>
      </c>
      <c r="H1008">
        <v>1</v>
      </c>
    </row>
    <row r="1009">
      <c r="A1009" t="str">
        <v>SUP-60</v>
      </c>
      <c r="B1009" t="str">
        <v>suppoter</v>
      </c>
      <c r="C1009" t="str">
        <v>JASMINE'S GAZE</v>
      </c>
      <c r="D1009" t="str">
        <v>SSP 178/191</v>
      </c>
      <c r="E1009" t="str">
        <v>normal</v>
      </c>
      <c r="F1009" t="str">
        <v>HCM</v>
      </c>
      <c r="H1009">
        <v>2</v>
      </c>
    </row>
    <row r="1010">
      <c r="A1010" t="str">
        <v>SUP-61</v>
      </c>
      <c r="B1010" t="str">
        <v>suppoter</v>
      </c>
      <c r="C1010" t="str">
        <v>GRUSHA</v>
      </c>
      <c r="D1010" t="str">
        <v>PAL 184/193</v>
      </c>
      <c r="E1010" t="str">
        <v>normal</v>
      </c>
      <c r="F1010" t="str">
        <v>HCM</v>
      </c>
      <c r="H1010">
        <v>2</v>
      </c>
    </row>
    <row r="1011">
      <c r="A1011" t="str">
        <v>SUP-62</v>
      </c>
      <c r="B1011" t="str">
        <v>suppoter</v>
      </c>
      <c r="C1011" t="str">
        <v>LARRY'S SKILL</v>
      </c>
      <c r="D1011" t="str">
        <v>PRE 115/131</v>
      </c>
      <c r="E1011" t="str">
        <v>normal</v>
      </c>
      <c r="F1011" t="str">
        <v>HCM</v>
      </c>
      <c r="H1011">
        <v>11</v>
      </c>
    </row>
    <row r="1012">
      <c r="A1012" t="str">
        <v>SUP-63</v>
      </c>
      <c r="B1012" t="str">
        <v>suppoter</v>
      </c>
      <c r="C1012" t="str">
        <v>LISIA'S APPEAL</v>
      </c>
      <c r="D1012" t="str">
        <v>SSP 179/191</v>
      </c>
      <c r="E1012" t="str">
        <v>normal</v>
      </c>
      <c r="F1012" t="str">
        <v>HCM</v>
      </c>
      <c r="H1012">
        <v>1</v>
      </c>
    </row>
    <row r="1013">
      <c r="A1013" t="str">
        <v>SUP-64</v>
      </c>
      <c r="B1013" t="str">
        <v>suppoter</v>
      </c>
      <c r="C1013" t="str">
        <v>LT. SURGE'S BARGAIN</v>
      </c>
      <c r="D1013" t="str">
        <v>MEG 120/132</v>
      </c>
      <c r="E1013" t="str">
        <v>normal</v>
      </c>
      <c r="F1013" t="str">
        <v>HCM</v>
      </c>
      <c r="H1013">
        <v>1</v>
      </c>
    </row>
    <row r="1014">
      <c r="A1014" t="str">
        <v>SUP-65</v>
      </c>
      <c r="B1014" t="str">
        <v>suppoter</v>
      </c>
      <c r="C1014" t="str">
        <v>PARASOL LADY</v>
      </c>
      <c r="D1014" t="str">
        <v>PAR 169/182</v>
      </c>
      <c r="E1014" t="str">
        <v>normal</v>
      </c>
      <c r="F1014" t="str">
        <v>HCM</v>
      </c>
      <c r="H1014">
        <v>1</v>
      </c>
    </row>
    <row r="1015">
      <c r="A1015" t="str">
        <v>SUP-66</v>
      </c>
      <c r="B1015" t="str">
        <v>suppoter</v>
      </c>
      <c r="C1015" t="str">
        <v>PERRIN</v>
      </c>
      <c r="D1015" t="str">
        <v>TWM 160/167</v>
      </c>
      <c r="E1015" t="str">
        <v>normal</v>
      </c>
      <c r="F1015" t="str">
        <v>HCM</v>
      </c>
      <c r="H1015">
        <v>1</v>
      </c>
    </row>
    <row r="1016">
      <c r="A1016" t="str">
        <v>SUP-67</v>
      </c>
      <c r="B1016" t="str">
        <v>suppoter</v>
      </c>
      <c r="C1016" t="str">
        <v>POKEMON CENTER LADY</v>
      </c>
      <c r="D1016" t="str">
        <v>MEG 123/132</v>
      </c>
      <c r="E1016" t="str">
        <v>normal</v>
      </c>
      <c r="F1016" t="str">
        <v>HCM</v>
      </c>
      <c r="H1016">
        <v>1</v>
      </c>
    </row>
    <row r="1017">
      <c r="A1017" t="str">
        <v>SUP-68</v>
      </c>
      <c r="B1017" t="str">
        <v>suppoter</v>
      </c>
      <c r="C1017" t="str">
        <v>RAIFORT</v>
      </c>
      <c r="D1017" t="str">
        <v>TWM 161/167</v>
      </c>
      <c r="E1017" t="str">
        <v>normal</v>
      </c>
      <c r="F1017" t="str">
        <v>HCM</v>
      </c>
      <c r="H1017">
        <v>2</v>
      </c>
    </row>
    <row r="1018">
      <c r="A1018" t="str">
        <v>SUP-69</v>
      </c>
      <c r="B1018" t="str">
        <v>suppoter</v>
      </c>
      <c r="C1018" t="str">
        <v>RUFFIAN</v>
      </c>
      <c r="D1018" t="str">
        <v>JTG 157/159</v>
      </c>
      <c r="E1018" t="str">
        <v>normal</v>
      </c>
      <c r="F1018" t="str">
        <v>HCM</v>
      </c>
      <c r="H1018">
        <v>1</v>
      </c>
    </row>
    <row r="1019">
      <c r="A1019" t="str">
        <v>SUP-70</v>
      </c>
      <c r="B1019" t="str">
        <v>suppoter</v>
      </c>
      <c r="C1019" t="str">
        <v>TYME</v>
      </c>
      <c r="D1019" t="str">
        <v>SSP 190/191</v>
      </c>
      <c r="E1019" t="str">
        <v>normal</v>
      </c>
      <c r="F1019" t="str">
        <v>HCM</v>
      </c>
      <c r="H1019">
        <v>1</v>
      </c>
    </row>
    <row r="1020">
      <c r="A1020" t="str">
        <v>IT-59</v>
      </c>
      <c r="B1020" t="str">
        <v>item</v>
      </c>
      <c r="C1020" t="str">
        <v>Poké Pad</v>
      </c>
      <c r="D1020" t="str">
        <v>POR 81/88</v>
      </c>
      <c r="E1020" t="str">
        <v>normal</v>
      </c>
      <c r="F1020" t="str">
        <v>HCM</v>
      </c>
      <c r="G1020">
        <v>30</v>
      </c>
      <c r="H1020">
        <v>30</v>
      </c>
      <c r="I1020" t="str">
        <v/>
      </c>
      <c r="J1020" t="str">
        <v/>
      </c>
      <c r="K1020">
        <v>30</v>
      </c>
      <c r="L1020">
        <v>900</v>
      </c>
    </row>
  </sheetData>
  <autoFilter ref="$A$3:$K$81"/>
  <mergeCells count="1">
    <mergeCell ref="H2:K2"/>
  </mergeCells>
  <pageMargins left="0.25" right="0.25" top="0.75" bottom="0.75" header="0" footer="0"/>
  <ignoredErrors>
    <ignoredError numberStoredAsText="1" sqref="A1:L102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Tồn Kho 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2025-08-25T03:20:54Z</dcterms:created>
  <dc:creator>DELL</dc:creator>
</cp:coreProperties>
</file>